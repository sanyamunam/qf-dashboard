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plabqa-my.sharepoint.com/personal/sanya_applab_qa/Documents/QF Observatory/"/>
    </mc:Choice>
  </mc:AlternateContent>
  <xr:revisionPtr revIDLastSave="31" documentId="13_ncr:1_{ACB6346F-9CA7-4648-BA26-6EDED74F40E2}" xr6:coauthVersionLast="47" xr6:coauthVersionMax="47" xr10:uidLastSave="{1A74B08A-1878-45B0-BB93-46DE300505EA}"/>
  <bookViews>
    <workbookView xWindow="-108" yWindow="-108" windowWidth="23256" windowHeight="13896" xr2:uid="{0D39E446-CBDD-4C53-BCB4-71845E881CBB}"/>
  </bookViews>
  <sheets>
    <sheet name="Actuals &amp; Targets" sheetId="1" r:id="rId1"/>
  </sheets>
  <externalReferences>
    <externalReference r:id="rId2"/>
  </externalReferences>
  <definedNames>
    <definedName name="_xlnm._FilterDatabase" localSheetId="0" hidden="1">'Actuals &amp; Targets'!$A$1:$A$242</definedName>
    <definedName name="StrategicObjectives">[1]Options!$B$3:$B$5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0" i="1" l="1"/>
  <c r="L40" i="1"/>
  <c r="M40" i="1"/>
  <c r="J40" i="1"/>
  <c r="K34" i="1"/>
  <c r="L34" i="1"/>
  <c r="M34" i="1"/>
  <c r="J34" i="1"/>
  <c r="U16" i="1"/>
  <c r="O16" i="1"/>
  <c r="P16" i="1"/>
  <c r="Q16" i="1"/>
  <c r="R16" i="1"/>
  <c r="S16" i="1"/>
  <c r="T16" i="1"/>
  <c r="N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Mohamed Hazem</author>
    <author>tc={C350D3B0-B893-4078-AD97-D02532469B53}</author>
    <author>tc={3B542F0B-569E-49F6-8C49-B6992351E089}</author>
  </authors>
  <commentList>
    <comment ref="N6" authorId="0" shapeId="0" xr:uid="{FF3087BC-D19E-402C-AFEC-E9571850D391}">
      <text>
        <r>
          <rPr>
            <b/>
            <sz val="9"/>
            <color indexed="81"/>
            <rFont val="Tahoma"/>
            <charset val="1"/>
          </rPr>
          <t>Mohamed Hazem:</t>
        </r>
        <r>
          <rPr>
            <sz val="9"/>
            <color indexed="81"/>
            <rFont val="Tahoma"/>
            <charset val="1"/>
          </rPr>
          <t xml:space="preserve">
Reported Annually</t>
        </r>
      </text>
    </comment>
    <comment ref="N10" authorId="0" shapeId="0" xr:uid="{CAF836B6-6A61-401D-B901-907E9E3644E7}">
      <text>
        <r>
          <rPr>
            <b/>
            <sz val="9"/>
            <color indexed="81"/>
            <rFont val="Tahoma"/>
            <charset val="1"/>
          </rPr>
          <t>Mohamed Hazem:</t>
        </r>
        <r>
          <rPr>
            <sz val="9"/>
            <color indexed="81"/>
            <rFont val="Tahoma"/>
            <charset val="1"/>
          </rPr>
          <t xml:space="preserve">
Reported Annually</t>
        </r>
      </text>
    </comment>
    <comment ref="D12" authorId="1" shapeId="0" xr:uid="{C350D3B0-B893-4078-AD97-D02532469B5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Update this excel as the categories defined are incorrect for Operational Excellence - Policy Hub Insights
</t>
      </text>
    </comment>
    <comment ref="N22" authorId="0" shapeId="0" xr:uid="{2331FF22-E43F-424D-9C08-4B4ED0C53917}">
      <text>
        <r>
          <rPr>
            <b/>
            <sz val="9"/>
            <color indexed="81"/>
            <rFont val="Tahoma"/>
            <charset val="1"/>
          </rPr>
          <t>Mohamed Hazem:</t>
        </r>
        <r>
          <rPr>
            <sz val="9"/>
            <color indexed="81"/>
            <rFont val="Tahoma"/>
            <charset val="1"/>
          </rPr>
          <t xml:space="preserve">
Not available. Sourced from various entities by request</t>
        </r>
      </text>
    </comment>
    <comment ref="G152" authorId="0" shapeId="0" xr:uid="{9A009698-65FF-49CE-9AB3-51EB39496A71}">
      <text>
        <r>
          <rPr>
            <b/>
            <sz val="9"/>
            <color indexed="81"/>
            <rFont val="Tahoma"/>
            <charset val="1"/>
          </rPr>
          <t>Mohamed Hazem:</t>
        </r>
        <r>
          <rPr>
            <sz val="9"/>
            <color indexed="81"/>
            <rFont val="Tahoma"/>
            <charset val="1"/>
          </rPr>
          <t xml:space="preserve">
merge</t>
        </r>
      </text>
    </comment>
    <comment ref="G153" authorId="0" shapeId="0" xr:uid="{220C86A7-4DC3-4A28-B400-5936CCBF8DF8}">
      <text>
        <r>
          <rPr>
            <b/>
            <sz val="9"/>
            <color indexed="81"/>
            <rFont val="Tahoma"/>
            <charset val="1"/>
          </rPr>
          <t>Mohamed Hazem:</t>
        </r>
        <r>
          <rPr>
            <sz val="9"/>
            <color indexed="81"/>
            <rFont val="Tahoma"/>
            <charset val="1"/>
          </rPr>
          <t xml:space="preserve">
merge</t>
        </r>
      </text>
    </comment>
    <comment ref="G189" authorId="2" shapeId="0" xr:uid="{3B542F0B-569E-49F6-8C49-B6992351E089}">
      <text>
        <t>[Threaded comment]
Your version of Excel allows you to read this threaded comment; however, any edits to it will get removed if the file is opened in a newer version of Excel. Learn more: https://go.microsoft.com/fwlink/?linkid=870924
Comment:
    Renamed to Summit NPS from Conference NPS</t>
      </text>
    </comment>
    <comment ref="G197" authorId="0" shapeId="0" xr:uid="{584DB2C9-2337-4BB6-9838-2F58AD33D414}">
      <text>
        <r>
          <rPr>
            <b/>
            <sz val="9"/>
            <color indexed="81"/>
            <rFont val="Tahoma"/>
            <charset val="1"/>
          </rPr>
          <t>Mohamed Hazem:</t>
        </r>
        <r>
          <rPr>
            <sz val="9"/>
            <color indexed="81"/>
            <rFont val="Tahoma"/>
            <charset val="1"/>
          </rPr>
          <t xml:space="preserve">
merge</t>
        </r>
      </text>
    </comment>
    <comment ref="G198" authorId="0" shapeId="0" xr:uid="{6EC8A882-DFE5-4828-AE9B-9CF918F65154}">
      <text>
        <r>
          <rPr>
            <b/>
            <sz val="9"/>
            <color indexed="81"/>
            <rFont val="Tahoma"/>
            <charset val="1"/>
          </rPr>
          <t>Mohamed Hazem:</t>
        </r>
        <r>
          <rPr>
            <sz val="9"/>
            <color indexed="81"/>
            <rFont val="Tahoma"/>
            <charset val="1"/>
          </rPr>
          <t xml:space="preserve">
merge</t>
        </r>
      </text>
    </comment>
    <comment ref="G227" authorId="0" shapeId="0" xr:uid="{79695616-0F1B-4D20-BE64-53C3FEC2ED80}">
      <text>
        <r>
          <rPr>
            <b/>
            <sz val="9"/>
            <color indexed="81"/>
            <rFont val="Tahoma"/>
            <charset val="1"/>
          </rPr>
          <t>Mohamed Hazem:</t>
        </r>
        <r>
          <rPr>
            <sz val="9"/>
            <color indexed="81"/>
            <rFont val="Tahoma"/>
            <charset val="1"/>
          </rPr>
          <t xml:space="preserve">
merge
</t>
        </r>
      </text>
    </comment>
    <comment ref="G228" authorId="0" shapeId="0" xr:uid="{37AA3016-767F-4BC1-8B6D-88FFE4883AFA}">
      <text>
        <r>
          <rPr>
            <b/>
            <sz val="9"/>
            <color indexed="81"/>
            <rFont val="Tahoma"/>
            <charset val="1"/>
          </rPr>
          <t>Mohamed Hazem:</t>
        </r>
        <r>
          <rPr>
            <sz val="9"/>
            <color indexed="81"/>
            <rFont val="Tahoma"/>
            <charset val="1"/>
          </rPr>
          <t xml:space="preserve">
merge</t>
        </r>
      </text>
    </comment>
    <comment ref="G233" authorId="0" shapeId="0" xr:uid="{C7AF2DAF-2758-4CCF-885D-606947514214}">
      <text>
        <r>
          <rPr>
            <b/>
            <sz val="9"/>
            <color indexed="81"/>
            <rFont val="Tahoma"/>
            <charset val="1"/>
          </rPr>
          <t>Mohamed Hazem:</t>
        </r>
        <r>
          <rPr>
            <sz val="9"/>
            <color indexed="81"/>
            <rFont val="Tahoma"/>
            <charset val="1"/>
          </rPr>
          <t xml:space="preserve">
merge</t>
        </r>
      </text>
    </comment>
    <comment ref="G234" authorId="0" shapeId="0" xr:uid="{927D1065-4EF5-46C3-A094-5BBEF4D4B2D8}">
      <text>
        <r>
          <rPr>
            <b/>
            <sz val="9"/>
            <color indexed="81"/>
            <rFont val="Tahoma"/>
            <charset val="1"/>
          </rPr>
          <t>Mohamed Hazem:</t>
        </r>
        <r>
          <rPr>
            <sz val="9"/>
            <color indexed="81"/>
            <rFont val="Tahoma"/>
            <charset val="1"/>
          </rPr>
          <t xml:space="preserve">
merge</t>
        </r>
      </text>
    </comment>
  </commentList>
</comments>
</file>

<file path=xl/sharedStrings.xml><?xml version="1.0" encoding="utf-8"?>
<sst xmlns="http://schemas.openxmlformats.org/spreadsheetml/2006/main" count="2622" uniqueCount="571">
  <si>
    <t>Dashboard</t>
  </si>
  <si>
    <t>Entity Name</t>
  </si>
  <si>
    <t xml:space="preserve"> Proposed Entity Name</t>
  </si>
  <si>
    <t>Category</t>
  </si>
  <si>
    <t>Thematic Area</t>
  </si>
  <si>
    <t>Performance Framework</t>
  </si>
  <si>
    <t>KPI Name</t>
  </si>
  <si>
    <t>KPI Definition</t>
  </si>
  <si>
    <t>Polarity</t>
  </si>
  <si>
    <t>Actual 2022</t>
  </si>
  <si>
    <t>Actual 2023</t>
  </si>
  <si>
    <t>Actual 2024</t>
  </si>
  <si>
    <t>Actual 2025</t>
  </si>
  <si>
    <t>Actual 2026 Q1</t>
  </si>
  <si>
    <t>Target 2022</t>
  </si>
  <si>
    <t>Target 2023</t>
  </si>
  <si>
    <t>Target 2024</t>
  </si>
  <si>
    <t>Target 2025</t>
  </si>
  <si>
    <t>Target 2026</t>
  </si>
  <si>
    <t>Target 2027</t>
  </si>
  <si>
    <t>Target 2028</t>
  </si>
  <si>
    <t>Executive</t>
  </si>
  <si>
    <t>QF - Source CFO Division</t>
  </si>
  <si>
    <t>Operational Excellence - Financial Health</t>
  </si>
  <si>
    <t>Organizational Excellence</t>
  </si>
  <si>
    <t>Operational</t>
  </si>
  <si>
    <t>Budget Variance</t>
  </si>
  <si>
    <t>Percentage difference between planned and actual expenditure</t>
  </si>
  <si>
    <t>Red</t>
  </si>
  <si>
    <t>Cost Recovery Ratio</t>
  </si>
  <si>
    <t>Percentage of total costs covered by revenue generated</t>
  </si>
  <si>
    <t>Green</t>
  </si>
  <si>
    <t>TBU</t>
  </si>
  <si>
    <t>Revenue Generated</t>
  </si>
  <si>
    <t>Total revenue earned from program fees, grants, donations and sponsorships (QAR M)</t>
  </si>
  <si>
    <t>QF - Source HC</t>
  </si>
  <si>
    <t>Human Capital</t>
  </si>
  <si>
    <t>Operational Excellence - HC Insights</t>
  </si>
  <si>
    <t>Qatarization</t>
  </si>
  <si>
    <t xml:space="preserve">Percentage of Qatari employees from total employees </t>
  </si>
  <si>
    <t>Regretted Employee Turnover</t>
  </si>
  <si>
    <t>Percentage of regretted employee turn-over. Target set to 5% or less per year</t>
  </si>
  <si>
    <t>NR</t>
  </si>
  <si>
    <t>Vacancies</t>
  </si>
  <si>
    <t>Number of vacancies (Total QF)</t>
  </si>
  <si>
    <t>Employee Turnover</t>
  </si>
  <si>
    <t>Percentage of total employees that leave the organization within the reporting period</t>
  </si>
  <si>
    <t>Leadership Vacancies</t>
  </si>
  <si>
    <t>Number of leadership vacancies (N-1 and N-2)</t>
  </si>
  <si>
    <t>Employee Engagement Score</t>
  </si>
  <si>
    <t>Employee Engagement Score. Target set to 79% employees reporting positive engagement (target 5% improvement subsequent years)</t>
  </si>
  <si>
    <t>Total Policy Adoptions</t>
  </si>
  <si>
    <t>Total policy adoptions across Policy Hub, Earthna, WISH, WISE, and DIFI</t>
  </si>
  <si>
    <t>Policy Hub</t>
  </si>
  <si>
    <t>Social Progress</t>
  </si>
  <si>
    <t>Impact</t>
  </si>
  <si>
    <t>Policy Hub - Policy Adoption</t>
  </si>
  <si>
    <t>Number of new or previous policy recommendations with evidence of adoption by stakeholders this year</t>
  </si>
  <si>
    <t>Earthna</t>
  </si>
  <si>
    <t>Sustainability</t>
  </si>
  <si>
    <t>Earthna - Policy Adoption</t>
  </si>
  <si>
    <t>Total new or previous policy recommendations with evidence of adoption by stakeholders this year</t>
  </si>
  <si>
    <t>WISH</t>
  </si>
  <si>
    <t>WISH - Policy Adoption</t>
  </si>
  <si>
    <t>Number of new projects with active agreements (MoUs or action plans) in place for policy development</t>
  </si>
  <si>
    <t>DIFI</t>
  </si>
  <si>
    <t>DIFI - Policy Adoption</t>
  </si>
  <si>
    <t>Total Policy Recommendations</t>
  </si>
  <si>
    <t>Total policy recommendations across Policy Hub, Earthna, WISH, WISE, and DIFI</t>
  </si>
  <si>
    <t>Policy Hub - Policy Recommendations</t>
  </si>
  <si>
    <t>Number of new policy recommendations made this year</t>
  </si>
  <si>
    <t>Strategic</t>
  </si>
  <si>
    <t>Earthna - Policy Recommendations</t>
  </si>
  <si>
    <t>Total new policy recommendations made this year</t>
  </si>
  <si>
    <t>WISH - Policy Recommendations</t>
  </si>
  <si>
    <t>Number of new research projects commissioned with an external research partner</t>
  </si>
  <si>
    <t>DIFI - Policy Recommendations</t>
  </si>
  <si>
    <t>QF</t>
  </si>
  <si>
    <t>EC Community</t>
  </si>
  <si>
    <t>Footfall - EC total</t>
  </si>
  <si>
    <t>Total visitors to EC (footfall across EC)</t>
  </si>
  <si>
    <t>QNL/PUE/ALSHAQAB/QCDC</t>
  </si>
  <si>
    <t xml:space="preserve">Participants in Inclusive Programs </t>
  </si>
  <si>
    <t>Number of participants across community events and programs delivered</t>
  </si>
  <si>
    <t>NA</t>
  </si>
  <si>
    <t xml:space="preserve">Footfall - Cultural events </t>
  </si>
  <si>
    <t xml:space="preserve">Participation in cultural events </t>
  </si>
  <si>
    <t>City Operations</t>
  </si>
  <si>
    <t>Energy from Renewable Sources (KwH)</t>
  </si>
  <si>
    <t>Number of total renewable energy produced by renewable energy sources station in QF (in KwH)</t>
  </si>
  <si>
    <t xml:space="preserve">Recycled Water </t>
  </si>
  <si>
    <t>Percentage  of recycled water used for cooling tower</t>
  </si>
  <si>
    <t>EC Carbon Footprint (Tonnes)</t>
  </si>
  <si>
    <t>Number of total carbon footprint at EC (tonnes CO2)</t>
  </si>
  <si>
    <t>Energy Consumption Reduction</t>
  </si>
  <si>
    <t>Percentage of annual reduction in electricity consumption (district cooling)</t>
  </si>
  <si>
    <t>Qatar Precision Health Institute</t>
  </si>
  <si>
    <t>Research</t>
  </si>
  <si>
    <t>Precision Health</t>
  </si>
  <si>
    <t>Active QPHI projects</t>
  </si>
  <si>
    <t>Number of active research projects</t>
  </si>
  <si>
    <t>All</t>
  </si>
  <si>
    <t xml:space="preserve">QF's contributions to Qatar's Publications </t>
  </si>
  <si>
    <t>Percentage of research publications in Qatar affiliated with QF</t>
  </si>
  <si>
    <t>Research Publications - QF Total</t>
  </si>
  <si>
    <t>Number of research publications affiliated with QF</t>
  </si>
  <si>
    <t>Research publications - PH-related</t>
  </si>
  <si>
    <t xml:space="preserve">Number of Health and Medicine research publications </t>
  </si>
  <si>
    <t>Artificial Intelligence</t>
  </si>
  <si>
    <t>Research publications - AI-related</t>
  </si>
  <si>
    <t xml:space="preserve">Number of Artificial Intelligence-related research publications </t>
  </si>
  <si>
    <t>Research publications - SU-related</t>
  </si>
  <si>
    <t>Number of Sustainability-related research publications</t>
  </si>
  <si>
    <t>Research publications - Other</t>
  </si>
  <si>
    <t>QF's contributions to Qatar's Patents</t>
  </si>
  <si>
    <t>Percentage of patents owned by Qatar, affiliated with QF</t>
  </si>
  <si>
    <t>Patents Granted - QF Total</t>
  </si>
  <si>
    <t>Number of patents granted - total owned by QF</t>
  </si>
  <si>
    <t>Patents Granted - PH</t>
  </si>
  <si>
    <t>Number of patents granted - health and medicine</t>
  </si>
  <si>
    <t xml:space="preserve">Patents Granted - AI </t>
  </si>
  <si>
    <t>Number of patents granted - Artificial Intelligence</t>
  </si>
  <si>
    <t>Patents Granted - SU</t>
  </si>
  <si>
    <t>Number of patents granted - Sustainability</t>
  </si>
  <si>
    <t>Patents Granted - Other</t>
  </si>
  <si>
    <t>New registered clinical trials</t>
  </si>
  <si>
    <t>Number of new registered clinical trials</t>
  </si>
  <si>
    <t>Genomes Sequenced</t>
  </si>
  <si>
    <t>Number of whole genomes sequenced to date</t>
  </si>
  <si>
    <t>Qatar Diabetes Association</t>
  </si>
  <si>
    <t>Patient Outcomes - Diabetes Prevention</t>
  </si>
  <si>
    <t>Percentage of patients with laboratory test below diabetes threshold (diabetes prevention)</t>
  </si>
  <si>
    <t>Patient Outcomes - Diabetes Control</t>
  </si>
  <si>
    <t>Percentage of patients with diabetes lab test (HbA1c) within target values (diabetes control)</t>
  </si>
  <si>
    <t>HBKU</t>
  </si>
  <si>
    <t xml:space="preserve">AI tools/solutions adopted by external stakeholders </t>
  </si>
  <si>
    <t>AI tools/solutions adopted by external stakeholders developed by HBKU</t>
  </si>
  <si>
    <t>New AI start-ups</t>
  </si>
  <si>
    <t>Number of new AI start-ups</t>
  </si>
  <si>
    <t>Policy/Research Reports</t>
  </si>
  <si>
    <t>Number of policy/policy research reports</t>
  </si>
  <si>
    <t>Higher Education (HBKU+PUs)</t>
  </si>
  <si>
    <t>Higher Education</t>
  </si>
  <si>
    <t>Education - Higher Education Graduates</t>
  </si>
  <si>
    <t>Progressive Education</t>
  </si>
  <si>
    <t xml:space="preserve">Higher Ed. Graduates - Total </t>
  </si>
  <si>
    <t>Number of Total graduates</t>
  </si>
  <si>
    <t>Higher Education (HBKU+Pus)</t>
  </si>
  <si>
    <t>Higher Ed. Graduates in PH-related degrees</t>
  </si>
  <si>
    <t>Number of graduates in Precision Health-related degrees</t>
  </si>
  <si>
    <t>Higher Ed. Graduates in AI-related degrees</t>
  </si>
  <si>
    <t>Number of graduates in Artificial Intelligence-related degrees</t>
  </si>
  <si>
    <t>Higher Ed. Graduates in SU-related degrees</t>
  </si>
  <si>
    <t>Number of graduates in Sustainability-related degrees (sustainability, science, and engineering programs)</t>
  </si>
  <si>
    <t>Higher Ed. Graduates in SP-related degrees</t>
  </si>
  <si>
    <t xml:space="preserve">Number of graduates in Social Progress related programs </t>
  </si>
  <si>
    <t>Higher Ed. Graduates - STEM</t>
  </si>
  <si>
    <t>Percentage of STEM Graduates</t>
  </si>
  <si>
    <t>Higher Ed. Graduates - Non-STEM</t>
  </si>
  <si>
    <t>Percentage of non-STEM Graduates</t>
  </si>
  <si>
    <t>Higher Ed. Graduates -  Male</t>
  </si>
  <si>
    <t>Percentage of  Male Graduates</t>
  </si>
  <si>
    <t>Higher Ed. Graduates -  Female</t>
  </si>
  <si>
    <t>Percentage of Female Graduates</t>
  </si>
  <si>
    <t>Higher Ed. Graduates -  Qatari</t>
  </si>
  <si>
    <t>Percentage of Qatari Graduates</t>
  </si>
  <si>
    <t>Higher Ed. Graduates -  Non-Qatari</t>
  </si>
  <si>
    <t>Percentage of Non-Qatari Graduates</t>
  </si>
  <si>
    <t>Higher Ed. Graduates Employed -  Qatari</t>
  </si>
  <si>
    <t>Percentage of Qatari graduates employed, one year after graduation</t>
  </si>
  <si>
    <t>Higher Ed. Graduates Employed - Non-Qatari</t>
  </si>
  <si>
    <t>Percentage of Non-Qatari graduates employed, one year after graduation</t>
  </si>
  <si>
    <t>PUE</t>
  </si>
  <si>
    <t>Education - PUE Graduates</t>
  </si>
  <si>
    <t>PUE Student Graduates-Total</t>
  </si>
  <si>
    <t>Number of  Total high school graduates</t>
  </si>
  <si>
    <t>PUE Graduates -Male</t>
  </si>
  <si>
    <t>Percentage of Male graduates</t>
  </si>
  <si>
    <t>PUE Graduates - Female</t>
  </si>
  <si>
    <t>Percentage of  Female graduates</t>
  </si>
  <si>
    <t>PUE Graduates - Qatari</t>
  </si>
  <si>
    <t>Percentage of  Qatari graduates</t>
  </si>
  <si>
    <t>PUE Graduates - Non-Qatari</t>
  </si>
  <si>
    <t>Percentage of  Non-Qatari graduates</t>
  </si>
  <si>
    <t>Education - Higher Education Enrollments</t>
  </si>
  <si>
    <t>Higher Ed. Student Enrollment</t>
  </si>
  <si>
    <t>Number of Total students enrolled</t>
  </si>
  <si>
    <t xml:space="preserve">Higher Ed. Student Enrollment -  Undergraduate programs </t>
  </si>
  <si>
    <t>Number of in Undergraduate programs</t>
  </si>
  <si>
    <t xml:space="preserve">Higher Ed. Student Enrollment - Postgraduate programs </t>
  </si>
  <si>
    <t xml:space="preserve">Number of in Postgraduate programs </t>
  </si>
  <si>
    <t>Higher Ed. Enrollments in AI-related degrees</t>
  </si>
  <si>
    <t>Enrollments in Artificial Intelligence- related degrees (computer and information science, engineering and AI programs)</t>
  </si>
  <si>
    <t>Higher Ed. Enrollments in PH-related degrees</t>
  </si>
  <si>
    <t>Number of students in Precision Health-related degrees (health, biology and precision health programs)</t>
  </si>
  <si>
    <t>Higher Ed. Enrollments in SU-related degrees</t>
  </si>
  <si>
    <t>Number of enrollments in Sustainability-related degrees (sustainability, science, and engineering programs)</t>
  </si>
  <si>
    <t>Higher Ed. Enrollments in SP-related degrees</t>
  </si>
  <si>
    <t xml:space="preserve">Number of students enrolled in Social Progress related programs </t>
  </si>
  <si>
    <t>Higher Ed. Student Enrollment - CMUQ</t>
  </si>
  <si>
    <t>Higher Ed. Student Enrollment - GUQ</t>
  </si>
  <si>
    <t>Higher Ed. Student Enrollment - HBKU</t>
  </si>
  <si>
    <t>Higher Ed. Student Enrollment - HECQ</t>
  </si>
  <si>
    <t>Higher Ed. Student Enrollment - NUQ</t>
  </si>
  <si>
    <t>Higher Ed. Student Enrollment - TAMUQ</t>
  </si>
  <si>
    <t>Higher Ed. Student Enrollment - VCUQ</t>
  </si>
  <si>
    <t>Higher Ed. Student Enrollment - WCMQ</t>
  </si>
  <si>
    <t>Education - PUE Enrollments</t>
  </si>
  <si>
    <t>PUE Student Enrollment- Total</t>
  </si>
  <si>
    <t>Number of total students enrolled</t>
  </si>
  <si>
    <t>PUE Student Enrollment- IB schools</t>
  </si>
  <si>
    <t>Number of  students enrolled in International Baccalaureate schools</t>
  </si>
  <si>
    <t>PUE Student Enrollment - Specialized schools</t>
  </si>
  <si>
    <t>Number of  students enrolled in Specialized schools</t>
  </si>
  <si>
    <t>PUE Student Enrollment - Special Education Schools</t>
  </si>
  <si>
    <t>Number of  students enrolled in Special Education Schools</t>
  </si>
  <si>
    <t>Education - Graduate Outcomes</t>
  </si>
  <si>
    <t>Higher Ed. Graduates Employed</t>
  </si>
  <si>
    <t>Percentage of graduates employed, one year after graduation</t>
  </si>
  <si>
    <t xml:space="preserve">Higher Ed. Graduates Self Employed </t>
  </si>
  <si>
    <t>Percentage of graduates self-employed, one year after graduation</t>
  </si>
  <si>
    <t>Higher Ed. Graduates Continuing Education</t>
  </si>
  <si>
    <t>Percentage of graduates continuing education, one year after graduation</t>
  </si>
  <si>
    <t>Higher Ed. Graduates Not Employed</t>
  </si>
  <si>
    <t>Percentage of graduates not employed, one year after graduation</t>
  </si>
  <si>
    <t>Thematic</t>
  </si>
  <si>
    <t>QF Human Capital</t>
  </si>
  <si>
    <t>Qatari Metrics</t>
  </si>
  <si>
    <t>Qatarization (QF)</t>
  </si>
  <si>
    <t>% of Qatari employees from total employees</t>
  </si>
  <si>
    <t>27.45</t>
  </si>
  <si>
    <t>24.77</t>
  </si>
  <si>
    <t>26.4</t>
  </si>
  <si>
    <t>25</t>
  </si>
  <si>
    <t>40</t>
  </si>
  <si>
    <t>Qatarization in Leadership Positions</t>
  </si>
  <si>
    <t>% of Qatari employees from total employees in leadership positions</t>
  </si>
  <si>
    <t>57</t>
  </si>
  <si>
    <t>58.5</t>
  </si>
  <si>
    <t>54.2</t>
  </si>
  <si>
    <t>54</t>
  </si>
  <si>
    <t>55</t>
  </si>
  <si>
    <t>56</t>
  </si>
  <si>
    <t>Qatari Female</t>
  </si>
  <si>
    <t>% Qatari female staff</t>
  </si>
  <si>
    <t>59</t>
  </si>
  <si>
    <t>28</t>
  </si>
  <si>
    <t>% Qatarization (HC)</t>
  </si>
  <si>
    <t>48</t>
  </si>
  <si>
    <t>50.75</t>
  </si>
  <si>
    <t>51</t>
  </si>
  <si>
    <t>0</t>
  </si>
  <si>
    <t>50</t>
  </si>
  <si>
    <t>Gender and Diversity</t>
  </si>
  <si>
    <t>Female to male ratio</t>
  </si>
  <si>
    <t># female employees per 1 male employee</t>
  </si>
  <si>
    <t>1.14</t>
  </si>
  <si>
    <t>1.13</t>
  </si>
  <si>
    <t>1</t>
  </si>
  <si>
    <t>Female staff</t>
  </si>
  <si>
    <t>% female staff</t>
  </si>
  <si>
    <t>53</t>
  </si>
  <si>
    <t>People with Disabilities (PwD) at QF</t>
  </si>
  <si>
    <t>% of PwD among QF staff during the measurement period.</t>
  </si>
  <si>
    <t>Staff Cost Budget</t>
  </si>
  <si>
    <t>% Training Budget Variance</t>
  </si>
  <si>
    <t>% of deviation between the actual Training costs at the end of the financial year and the approved budgeted costs for the same period during AP.</t>
  </si>
  <si>
    <t>-28</t>
  </si>
  <si>
    <t>-30</t>
  </si>
  <si>
    <t>-38</t>
  </si>
  <si>
    <t>10</t>
  </si>
  <si>
    <t>% Variance on the BoD approved staff costs budget</t>
  </si>
  <si>
    <t>% variance on the BoD approved staff costs budget</t>
  </si>
  <si>
    <t>6</t>
  </si>
  <si>
    <t>4</t>
  </si>
  <si>
    <t>-4.5</t>
  </si>
  <si>
    <t>-5.53</t>
  </si>
  <si>
    <t>% Variance on the BoD approved headcount vs actual headcount (staff + vacant)</t>
  </si>
  <si>
    <t>% variance on the BoD approved headcount vs actual headcount (staff + vacant)</t>
  </si>
  <si>
    <t>2</t>
  </si>
  <si>
    <t>0.87</t>
  </si>
  <si>
    <t>3.9</t>
  </si>
  <si>
    <t>-10</t>
  </si>
  <si>
    <t>Turnover</t>
  </si>
  <si>
    <t>% Regretted Turnover</t>
  </si>
  <si>
    <t>% of high performers leave the organization (regretted turnover)</t>
  </si>
  <si>
    <t>1.6</t>
  </si>
  <si>
    <t>4.47</t>
  </si>
  <si>
    <t>4.4</t>
  </si>
  <si>
    <t>5</t>
  </si>
  <si>
    <t>% Nationals Turnover</t>
  </si>
  <si>
    <t>% of nationals that leave the organization (national turnover)</t>
  </si>
  <si>
    <t>1.25</t>
  </si>
  <si>
    <t>1.5</t>
  </si>
  <si>
    <t>% Employee Turnover</t>
  </si>
  <si>
    <t>8.45</t>
  </si>
  <si>
    <t>8.3</t>
  </si>
  <si>
    <t>9</t>
  </si>
  <si>
    <t>7</t>
  </si>
  <si>
    <t>Employee Engagement</t>
  </si>
  <si>
    <t>Employee engagement Index</t>
  </si>
  <si>
    <t>% employee engagement index</t>
  </si>
  <si>
    <t>79</t>
  </si>
  <si>
    <t>90</t>
  </si>
  <si>
    <t>85</t>
  </si>
  <si>
    <t>80</t>
  </si>
  <si>
    <t>Employee Net Promoter Score (ENPS)</t>
  </si>
  <si>
    <t># employee Net Promotor Score</t>
  </si>
  <si>
    <t>68</t>
  </si>
  <si>
    <t>75</t>
  </si>
  <si>
    <t>69</t>
  </si>
  <si>
    <t># Engagement Drivers Improved</t>
  </si>
  <si>
    <t># of improved engagement drivers</t>
  </si>
  <si>
    <t>Recruitment Performance</t>
  </si>
  <si>
    <t>% Job offer acceptance ratio</t>
  </si>
  <si>
    <t>% of candidates who accepted a formal job offer</t>
  </si>
  <si>
    <t>81</t>
  </si>
  <si>
    <t>89.86</t>
  </si>
  <si>
    <t>91</t>
  </si>
  <si>
    <t>70</t>
  </si>
  <si>
    <t>% New joiner satisfaction with the recruitment process</t>
  </si>
  <si>
    <t>% of satisfaction of new joiners with the recruitment process</t>
  </si>
  <si>
    <t>100</t>
  </si>
  <si>
    <t>% Satisfaction with Ya Hala program</t>
  </si>
  <si>
    <t>% satisfaction with Ya Hala program</t>
  </si>
  <si>
    <t>% Internal Mobility</t>
  </si>
  <si>
    <t>% vacancies filled by internal employees</t>
  </si>
  <si>
    <t>33</t>
  </si>
  <si>
    <t>20</t>
  </si>
  <si>
    <t>QF Alumni Employed</t>
  </si>
  <si>
    <t># of QF student alumni employed as new QF staff</t>
  </si>
  <si>
    <t>15</t>
  </si>
  <si>
    <t># Time to Hire (Sourcing)</t>
  </si>
  <si>
    <t># average days to hire (sourcing)</t>
  </si>
  <si>
    <t>30</t>
  </si>
  <si>
    <t>#Time to Hire (Mobilization)</t>
  </si>
  <si>
    <t># average days to hire (mobilization)</t>
  </si>
  <si>
    <t>63</t>
  </si>
  <si>
    <t>Cost Per Hire (QAR)</t>
  </si>
  <si>
    <t># average cost per hire (QAR)</t>
  </si>
  <si>
    <t>5567</t>
  </si>
  <si>
    <t>15000</t>
  </si>
  <si>
    <t>Talent Management</t>
  </si>
  <si>
    <t># Average training hours per employee</t>
  </si>
  <si>
    <t># of average training hours per employee</t>
  </si>
  <si>
    <t>6.02</t>
  </si>
  <si>
    <t>10.7</t>
  </si>
  <si>
    <t>11.4</t>
  </si>
  <si>
    <t>% Employees attended training</t>
  </si>
  <si>
    <t>% employees attended training</t>
  </si>
  <si>
    <t>41</t>
  </si>
  <si>
    <t>52</t>
  </si>
  <si>
    <t>32</t>
  </si>
  <si>
    <t>66</t>
  </si>
  <si>
    <t>% Employee satisfaction with training and development offerings</t>
  </si>
  <si>
    <t>% employee satisfaction with training and development offerings</t>
  </si>
  <si>
    <t>96</t>
  </si>
  <si>
    <t>97</t>
  </si>
  <si>
    <t>Internship Program participants</t>
  </si>
  <si>
    <t># of interns onboarded &amp; completed internship (excluding PUE)</t>
  </si>
  <si>
    <t>200</t>
  </si>
  <si>
    <t>220</t>
  </si>
  <si>
    <t>240</t>
  </si>
  <si>
    <t>Masar (Fresh) Graduates developed per year</t>
  </si>
  <si>
    <t>% of recruited Masar (Fresh) graduates developed per year</t>
  </si>
  <si>
    <t>Performance Distribution (QF)</t>
  </si>
  <si>
    <t>% adherence to annual forced ranking % for top 2 ratings (OS &amp; EE)</t>
  </si>
  <si>
    <t>35</t>
  </si>
  <si>
    <t>QF Factory for Leaders - Participation</t>
  </si>
  <si>
    <t># of QF staff taking part in the QF Factory for Leaders Program</t>
  </si>
  <si>
    <t>QF Factory for Leaders - Satisfaction</t>
  </si>
  <si>
    <t>% satisfaction QF Factory for Leaders program</t>
  </si>
  <si>
    <t>Talent Exchange Program - Participation</t>
  </si>
  <si>
    <t># of QF staff taking part in the Talent Exchange Program.</t>
  </si>
  <si>
    <t>Talent Exchange Program - Satisfaction</t>
  </si>
  <si>
    <t>% satisfaction Talent Exchange program</t>
  </si>
  <si>
    <t>%Succession Planning Rate</t>
  </si>
  <si>
    <t>% of critical roles with identified successors</t>
  </si>
  <si>
    <t>Migrant Workers Welfare</t>
  </si>
  <si>
    <t>% of MWW audits completed</t>
  </si>
  <si>
    <t>% completion of Migrant Workers Welfare audits</t>
  </si>
  <si>
    <t>Migrant Workers Grievances closed out within the specified time period</t>
  </si>
  <si>
    <t>% of closed Migrant Workers Grievances annually</t>
  </si>
  <si>
    <t>74</t>
  </si>
  <si>
    <t>95</t>
  </si>
  <si>
    <t>HC Transformation Projects</t>
  </si>
  <si>
    <t># Autonomy or decentralization projects supported</t>
  </si>
  <si>
    <t># of autonomy or decentralization projects supported</t>
  </si>
  <si>
    <t># Projects supported by change management</t>
  </si>
  <si>
    <t># of projects supported by change management</t>
  </si>
  <si>
    <t>HC Policy, Governance and Operations</t>
  </si>
  <si>
    <t>% Entities with approved org chart</t>
  </si>
  <si>
    <t>% entities with approved organizational chart</t>
  </si>
  <si>
    <t>94.5</t>
  </si>
  <si>
    <t>% Closed Internal Audit Issues vs Overdue Issues</t>
  </si>
  <si>
    <t>% closed internal audit issues vs overdue issues</t>
  </si>
  <si>
    <t>% Market Positioning</t>
  </si>
  <si>
    <t>% market positioning</t>
  </si>
  <si>
    <t>HR to employee ratio</t>
  </si>
  <si>
    <t># HR staff per 100 employees</t>
  </si>
  <si>
    <t>2.8</t>
  </si>
  <si>
    <t>2.7</t>
  </si>
  <si>
    <t>3</t>
  </si>
  <si>
    <t># HC processes enhanced</t>
  </si>
  <si>
    <t>12</t>
  </si>
  <si>
    <t>22</t>
  </si>
  <si>
    <t>11</t>
  </si>
  <si>
    <t>Policy enhancements approved</t>
  </si>
  <si>
    <t># of policy enhancements</t>
  </si>
  <si>
    <t>Knowledge transfer sessions conducted</t>
  </si>
  <si>
    <t># of knowledge transfer sessions conducted by HC for internal or external stakeholders</t>
  </si>
  <si>
    <t>8</t>
  </si>
  <si>
    <t>Partnerships and Engagements</t>
  </si>
  <si>
    <t>International Partnerships</t>
  </si>
  <si>
    <t># of international organizations external to QF partnered with on LTP initiatives</t>
  </si>
  <si>
    <t>National Partnerships</t>
  </si>
  <si>
    <t># of partnerships with Qatar-based organizations within affiliated with QF partnered with on LTP initiatives</t>
  </si>
  <si>
    <t>Multiversity</t>
  </si>
  <si>
    <t># of entities within QF collaborating on LTP initiatives</t>
  </si>
  <si>
    <t>International Engagements</t>
  </si>
  <si>
    <t># of international forums (e.g. conferences, seminars, roundtables) attended in a contributing role (e.g. speaker, moderator, panelist) to actively represent QF</t>
  </si>
  <si>
    <t>National Engagements</t>
  </si>
  <si>
    <t># of national forums (e.g. conferences, seminars, roundtables) attended in a contributing role (e.g. speaker, moderator, panelist) to actively represent QF</t>
  </si>
  <si>
    <t>Policy Impact &amp; Influence</t>
  </si>
  <si>
    <t>Policy Recommendations</t>
  </si>
  <si>
    <t># of new policy recommendations made this year</t>
  </si>
  <si>
    <t>Policy Adoption</t>
  </si>
  <si>
    <t># of new or previous policy recommendations with evidence of adoption by stakeholders this year</t>
  </si>
  <si>
    <t>Standalone</t>
  </si>
  <si>
    <t>Revenue Generation</t>
  </si>
  <si>
    <t># of Total value (QAR) revenue generated from policy hub services</t>
  </si>
  <si>
    <t>Reports and Strategic Publications</t>
  </si>
  <si>
    <t># of public reports published e.g. white papers, policy papers, technical briefs, and other Strategic documents</t>
  </si>
  <si>
    <t>Total number of partnerships with Qatar-based organizations on LTP initiatives</t>
  </si>
  <si>
    <t>Total number of international organizations external to QF partnered with on LTP initiatives</t>
  </si>
  <si>
    <t>Total number of entities within QF collaborating on initiatives</t>
  </si>
  <si>
    <t>Total number of international forums (e.g. conferences, seminars, roundtables) attended in a contributing role (e.g. speaker, moderator, panelist) to actively represent QF</t>
  </si>
  <si>
    <t>Total number of national forums (e.g. conferences, seminars, roundtables) attended in a contributing role (e.g. speaker, moderator, panelist) to actively represent QF</t>
  </si>
  <si>
    <t>Pilot Projects and Test-Beds</t>
  </si>
  <si>
    <t>Total number of pilot projects, test-beds, case studies, or strategic projects to support evidence-based policy advice</t>
  </si>
  <si>
    <t>Sponsorships and Revenue</t>
  </si>
  <si>
    <t>Sponsorship Revenue</t>
  </si>
  <si>
    <t>Total QAR value of funding received from sponsors within the reporting period</t>
  </si>
  <si>
    <t>Service Revenue</t>
  </si>
  <si>
    <t>Total QAR value of revenue received from partners for research, development, or consulting projects and services within the reporting period</t>
  </si>
  <si>
    <t>Sponsorships</t>
  </si>
  <si>
    <t>Total number of entities that provide financial or in-kind support to Earthna or its initiatives or programs.</t>
  </si>
  <si>
    <t>Community Reach</t>
  </si>
  <si>
    <t>Programs</t>
  </si>
  <si>
    <t>Total number of community events/programs delivered annually</t>
  </si>
  <si>
    <t>Beneficiaries</t>
  </si>
  <si>
    <t>Total number of participants across community events and programs delivered</t>
  </si>
  <si>
    <t>Research Output</t>
  </si>
  <si>
    <t>Research Publications</t>
  </si>
  <si>
    <t>Total number of peer-reviewed publications e.g. primary research articles, review papers, conference papers published scientific journals</t>
  </si>
  <si>
    <t>Total number of public reports published e.g. white papers, policy papers, technical briefs, and other Strategic documents</t>
  </si>
  <si>
    <t>Research and Development (R&amp;D) projects</t>
  </si>
  <si>
    <t>Total number of active R&amp;D projects to support evidence-based policy-making</t>
  </si>
  <si>
    <t>Media Impact</t>
  </si>
  <si>
    <t>Total number of mentions of Earthna in national and international media (print, radio, TV, and their online platforms)</t>
  </si>
  <si>
    <t>Earthna Prize Applications</t>
  </si>
  <si>
    <t>Number of screened applications received by the Earthna Prize initiative</t>
  </si>
  <si>
    <t>Summit Outcomes</t>
  </si>
  <si>
    <t>Summit NPS</t>
  </si>
  <si>
    <t>NPS score on likelihood to recommend summit to peers</t>
  </si>
  <si>
    <t>Knowledge Dissemination</t>
  </si>
  <si>
    <t>% of summit attendees reporting use of Earthna reports to inform their work or planning</t>
  </si>
  <si>
    <t>Collaboration Opportunities</t>
  </si>
  <si>
    <t>% of summit attendees reporting improved opportunities for collaboration</t>
  </si>
  <si>
    <t>Ecoschool Metrics</t>
  </si>
  <si>
    <t>Ecoschool Registrations</t>
  </si>
  <si>
    <t>Total number of schools in Qatar registered in the Ecoschool program</t>
  </si>
  <si>
    <t>Ecoschool Certification</t>
  </si>
  <si>
    <t>Total number of active Green Flag certifications (# of Flags, new + revised)</t>
  </si>
  <si>
    <t>Ecoschool Benefits</t>
  </si>
  <si>
    <t>% of students reporting Ecoschools has positively changed school practice of environmental sustainability</t>
  </si>
  <si>
    <t>Ecoschool Beneficiaries</t>
  </si>
  <si>
    <t>Total number of students and teachers in Qatar registered in Eco-schools programs</t>
  </si>
  <si>
    <t>External Funding</t>
  </si>
  <si>
    <t>Grants and Funding</t>
  </si>
  <si>
    <t>Total number of external research grants / funding / in-kind contributions</t>
  </si>
  <si>
    <t>Total QAR value of funding received from partnerships (sponsors) within the reporting period</t>
  </si>
  <si>
    <t>Long-Term Collaboration Agreements</t>
  </si>
  <si>
    <t>Total number of long-term collaboration agreements signed</t>
  </si>
  <si>
    <t>Downloads</t>
  </si>
  <si>
    <t>Total number of downloads of entity publications</t>
  </si>
  <si>
    <t>OSRA Grants Program</t>
  </si>
  <si>
    <t>Grants</t>
  </si>
  <si>
    <t>Total number of OSRA program grants issued by DIFI</t>
  </si>
  <si>
    <t>Grant Value</t>
  </si>
  <si>
    <t>Total QAR value of OSRA program grants issued by DIFI</t>
  </si>
  <si>
    <t>NPS score in % on likelihood to recommend</t>
  </si>
  <si>
    <t>% of conference attendees reporting use of DIFI reports to inform their work or planning</t>
  </si>
  <si>
    <t>% of conference attendees reporting improved opportunities for collaboration</t>
  </si>
  <si>
    <t>Pre-martial Education Program</t>
  </si>
  <si>
    <t>Guiding Principles</t>
  </si>
  <si>
    <t>Total number of pre-marital education guiding principles developed at a sub-regional level to inform policymakers across the Arab region in relation to pre-marital education</t>
  </si>
  <si>
    <t>Capacity Building</t>
  </si>
  <si>
    <t>Total number of training sessions for governmental representatives on pre-marital education guiding programs</t>
  </si>
  <si>
    <t>QAR Sponsorship Revenue</t>
  </si>
  <si>
    <t>In kind and QAR revenue generated during the summit and non summit year</t>
  </si>
  <si>
    <t>Research and Policy Pipeline</t>
  </si>
  <si>
    <t>Research Projects</t>
  </si>
  <si>
    <t>Policy Projects</t>
  </si>
  <si>
    <t>Visibility &amp; Outreach</t>
  </si>
  <si>
    <t>Media Mentions</t>
  </si>
  <si>
    <t>Press releases</t>
  </si>
  <si>
    <t>700+</t>
  </si>
  <si>
    <t>Downloads/Views</t>
  </si>
  <si>
    <t>Number of downloads/views of policy reports from WISH website</t>
  </si>
  <si>
    <t>Social Media Engagement (LinkedIn)</t>
  </si>
  <si>
    <t>Number of social media engagement and reach</t>
  </si>
  <si>
    <t>Net Promotor Score (NPS) score on likelihood to recommend summit</t>
  </si>
  <si>
    <t>% of summit attendees reporting use of WISH reports to inform their work or planning</t>
  </si>
  <si>
    <t>Capacity Building Metrics</t>
  </si>
  <si>
    <t>Capacity Building - Sessions</t>
  </si>
  <si>
    <t>Number of capacity building sessions held to support stakeholder practice</t>
  </si>
  <si>
    <t>Capacity Building - Organizations</t>
  </si>
  <si>
    <t>Number of organizations represented in capacity building sessions</t>
  </si>
  <si>
    <t>Capacity Building - Feedback</t>
  </si>
  <si>
    <t>% of participants in capacity building sessions reporting training helped improve their practice</t>
  </si>
  <si>
    <t>WISE</t>
  </si>
  <si>
    <t># of partnerships with Qatar-based organizations on LTP initiatives</t>
  </si>
  <si>
    <t># of entities within QF collaborating on initiatives</t>
  </si>
  <si>
    <t># of community events/programs delivered annually</t>
  </si>
  <si>
    <t># of beneficiaries across community events and programs delivered</t>
  </si>
  <si>
    <t>Participants</t>
  </si>
  <si>
    <t># of participants across community events and programs</t>
  </si>
  <si>
    <t>1000</t>
  </si>
  <si>
    <t>4000</t>
  </si>
  <si>
    <t>WISE Prize Program</t>
  </si>
  <si>
    <t>WISE Prize and Awards (Legacy Program) Recipients, including Prize Finalists</t>
  </si>
  <si>
    <t># prize recipients to date since inception</t>
  </si>
  <si>
    <t>99</t>
  </si>
  <si>
    <t>105</t>
  </si>
  <si>
    <t>111</t>
  </si>
  <si>
    <t>WISE Prize Funding Awarded</t>
  </si>
  <si>
    <t># of Total QAR value awarded to WISE prize recipients</t>
  </si>
  <si>
    <t>27375000</t>
  </si>
  <si>
    <t>3650000</t>
  </si>
  <si>
    <t>Edtech Testbed Schools</t>
  </si>
  <si>
    <t>Edtech Testbed Schools - Government</t>
  </si>
  <si>
    <t># of government schools participating in WISE Testbeds for edtech</t>
  </si>
  <si>
    <t>Edtech Testbed Schools - PUE</t>
  </si>
  <si>
    <t># of PUE schools taking part in WISE Testbeds for edtech</t>
  </si>
  <si>
    <t>Edtech Adoption in Qatar</t>
  </si>
  <si>
    <t>% of schools participating in WISE testbeds that have demonstrated adoption of edtech tools provided across the academic year</t>
  </si>
  <si>
    <t># of Total QAR value of funding received from partnerships (sponsors) within the reporting period</t>
  </si>
  <si>
    <t>860,000</t>
  </si>
  <si>
    <t>1,310,000</t>
  </si>
  <si>
    <t>2,825,000</t>
  </si>
  <si>
    <t>621000</t>
  </si>
  <si>
    <t>500,000</t>
  </si>
  <si>
    <t>1000000</t>
  </si>
  <si>
    <t># of peer-reviewed publications e.g. primary research articles, review papers, conference papers published scientific journals</t>
  </si>
  <si>
    <t>WISE Accelerator Program</t>
  </si>
  <si>
    <t>WISE Accelerator Beneficiaries</t>
  </si>
  <si>
    <t># of beneficiaries (members selected) for WISE Accelerator Program</t>
  </si>
  <si>
    <t>Products Supported</t>
  </si>
  <si>
    <t># of WISE Prize recipients that have developed a minimum viable product</t>
  </si>
  <si>
    <t>Startups - Qatar</t>
  </si>
  <si>
    <t># of WISE Accelerator startups that have established a legal presence in Qatar</t>
  </si>
  <si>
    <t>Startups - International</t>
  </si>
  <si>
    <t># of WISE Accelerator startups that have expanded and registered a presence in a different country</t>
  </si>
  <si>
    <t>Startup Funding Raised</t>
  </si>
  <si>
    <t># of total QAR funding raised by startups after one year of completing WISE Accelerator Program (excluding WISE support)</t>
  </si>
  <si>
    <t># of NPS score on likelihood to recommend summit</t>
  </si>
  <si>
    <t>60</t>
  </si>
  <si>
    <t>% of summit attendees reporting use of WISE reports to inform their work or planning</t>
  </si>
  <si>
    <t>0.14</t>
  </si>
  <si>
    <t>Policy Hub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</si>
</sst>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name val="Aptos Narrow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80">
    <xf numFmtId="0" fontId="0" fillId="0" borderId="0" xfId="0"/>
    <xf numFmtId="0" fontId="5" fillId="2" borderId="0" xfId="0" applyFont="1" applyFill="1" applyAlignment="1">
      <alignment horizontal="center" vertical="center"/>
    </xf>
    <xf numFmtId="0" fontId="4" fillId="0" borderId="0" xfId="1" applyFont="1" applyAlignment="1">
      <alignment vertical="center" wrapText="1"/>
    </xf>
    <xf numFmtId="0" fontId="4" fillId="0" borderId="0" xfId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 readingOrder="1"/>
    </xf>
    <xf numFmtId="0" fontId="4" fillId="0" borderId="1" xfId="0" applyFont="1" applyBorder="1" applyAlignment="1">
      <alignment horizontal="center" vertical="center" readingOrder="1"/>
    </xf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vertical="center" wrapText="1"/>
    </xf>
    <xf numFmtId="9" fontId="4" fillId="0" borderId="1" xfId="0" applyNumberFormat="1" applyFont="1" applyBorder="1" applyAlignment="1">
      <alignment horizontal="center" vertical="center" readingOrder="1"/>
    </xf>
    <xf numFmtId="9" fontId="4" fillId="0" borderId="0" xfId="0" applyNumberFormat="1" applyFont="1" applyAlignment="1">
      <alignment horizontal="center" vertical="center" readingOrder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1" fontId="4" fillId="0" borderId="0" xfId="1" applyNumberFormat="1" applyFont="1" applyAlignment="1">
      <alignment horizontal="center" vertical="center" wrapText="1"/>
    </xf>
    <xf numFmtId="1" fontId="4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left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vertical="center" wrapText="1"/>
    </xf>
    <xf numFmtId="0" fontId="4" fillId="0" borderId="3" xfId="1" applyFont="1" applyBorder="1" applyAlignment="1">
      <alignment horizontal="center" vertical="center" wrapText="1"/>
    </xf>
    <xf numFmtId="1" fontId="4" fillId="0" borderId="2" xfId="1" applyNumberFormat="1" applyFont="1" applyBorder="1" applyAlignment="1">
      <alignment horizontal="center" vertical="center" wrapText="1"/>
    </xf>
    <xf numFmtId="1" fontId="4" fillId="0" borderId="3" xfId="1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9" fontId="4" fillId="0" borderId="1" xfId="0" applyNumberFormat="1" applyFont="1" applyBorder="1" applyAlignment="1">
      <alignment horizontal="center" vertical="center" wrapText="1"/>
    </xf>
    <xf numFmtId="9" fontId="4" fillId="0" borderId="0" xfId="0" applyNumberFormat="1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10" fontId="4" fillId="0" borderId="1" xfId="0" applyNumberFormat="1" applyFont="1" applyBorder="1" applyAlignment="1">
      <alignment horizontal="center" vertical="center" wrapText="1"/>
    </xf>
    <xf numFmtId="10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 readingOrder="1"/>
    </xf>
    <xf numFmtId="3" fontId="4" fillId="0" borderId="0" xfId="0" applyNumberFormat="1" applyFont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readingOrder="1"/>
    </xf>
    <xf numFmtId="3" fontId="4" fillId="0" borderId="0" xfId="0" applyNumberFormat="1" applyFont="1" applyAlignment="1">
      <alignment horizontal="center" vertical="center" readingOrder="1"/>
    </xf>
    <xf numFmtId="9" fontId="4" fillId="0" borderId="1" xfId="0" applyNumberFormat="1" applyFont="1" applyBorder="1" applyAlignment="1">
      <alignment horizontal="center" vertical="center" wrapText="1" readingOrder="1"/>
    </xf>
    <xf numFmtId="9" fontId="4" fillId="0" borderId="0" xfId="0" applyNumberFormat="1" applyFont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5" borderId="0" xfId="0" applyFont="1" applyFill="1" applyAlignment="1">
      <alignment horizontal="left" vertical="center" wrapText="1" readingOrder="1"/>
    </xf>
    <xf numFmtId="0" fontId="4" fillId="5" borderId="0" xfId="0" applyFont="1" applyFill="1" applyAlignment="1">
      <alignment horizontal="center" vertical="center" wrapText="1" readingOrder="1"/>
    </xf>
    <xf numFmtId="0" fontId="4" fillId="5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vertical="center" wrapText="1"/>
    </xf>
    <xf numFmtId="9" fontId="4" fillId="5" borderId="1" xfId="0" applyNumberFormat="1" applyFont="1" applyFill="1" applyBorder="1" applyAlignment="1">
      <alignment horizontal="center" vertical="center" wrapText="1" readingOrder="1"/>
    </xf>
    <xf numFmtId="9" fontId="4" fillId="5" borderId="0" xfId="0" applyNumberFormat="1" applyFont="1" applyFill="1" applyAlignment="1">
      <alignment horizontal="center" vertical="center" wrapText="1" readingOrder="1"/>
    </xf>
    <xf numFmtId="0" fontId="4" fillId="5" borderId="1" xfId="0" applyFont="1" applyFill="1" applyBorder="1" applyAlignment="1">
      <alignment horizontal="center" vertical="center" readingOrder="1"/>
    </xf>
    <xf numFmtId="0" fontId="4" fillId="5" borderId="0" xfId="0" applyFont="1" applyFill="1" applyAlignment="1">
      <alignment horizontal="center" vertical="center" readingOrder="1"/>
    </xf>
    <xf numFmtId="9" fontId="4" fillId="5" borderId="0" xfId="0" applyNumberFormat="1" applyFont="1" applyFill="1" applyAlignment="1">
      <alignment horizontal="center" vertical="center" wrapText="1"/>
    </xf>
    <xf numFmtId="0" fontId="4" fillId="5" borderId="1" xfId="0" applyFont="1" applyFill="1" applyBorder="1" applyAlignment="1">
      <alignment vertical="center"/>
    </xf>
    <xf numFmtId="0" fontId="4" fillId="5" borderId="0" xfId="0" applyFont="1" applyFill="1" applyAlignment="1">
      <alignment vertical="center"/>
    </xf>
    <xf numFmtId="0" fontId="4" fillId="6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vertical="center" wrapText="1"/>
    </xf>
    <xf numFmtId="9" fontId="4" fillId="6" borderId="1" xfId="0" applyNumberFormat="1" applyFont="1" applyFill="1" applyBorder="1" applyAlignment="1">
      <alignment horizontal="center" vertical="center" wrapText="1"/>
    </xf>
    <xf numFmtId="9" fontId="4" fillId="6" borderId="0" xfId="0" applyNumberFormat="1" applyFont="1" applyFill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/>
    </xf>
    <xf numFmtId="0" fontId="4" fillId="6" borderId="0" xfId="0" applyFont="1" applyFill="1" applyAlignment="1">
      <alignment vertical="center"/>
    </xf>
    <xf numFmtId="10" fontId="4" fillId="6" borderId="1" xfId="0" applyNumberFormat="1" applyFont="1" applyFill="1" applyBorder="1" applyAlignment="1">
      <alignment horizontal="center" vertical="center" wrapText="1"/>
    </xf>
    <xf numFmtId="10" fontId="4" fillId="6" borderId="0" xfId="0" applyNumberFormat="1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 wrapText="1" readingOrder="1"/>
    </xf>
    <xf numFmtId="0" fontId="4" fillId="6" borderId="1" xfId="0" applyFont="1" applyFill="1" applyBorder="1" applyAlignment="1">
      <alignment horizontal="center" vertical="center" readingOrder="1"/>
    </xf>
    <xf numFmtId="0" fontId="4" fillId="6" borderId="0" xfId="0" applyFont="1" applyFill="1" applyAlignment="1">
      <alignment horizontal="center" vertical="center" readingOrder="1"/>
    </xf>
    <xf numFmtId="0" fontId="4" fillId="6" borderId="0" xfId="0" applyFont="1" applyFill="1" applyAlignment="1">
      <alignment horizontal="left" vertical="center" wrapText="1" readingOrder="1"/>
    </xf>
    <xf numFmtId="0" fontId="4" fillId="6" borderId="1" xfId="0" applyFont="1" applyFill="1" applyBorder="1" applyAlignment="1">
      <alignment horizontal="center" vertical="center" wrapText="1" readingOrder="1"/>
    </xf>
    <xf numFmtId="0" fontId="4" fillId="6" borderId="0" xfId="1" applyFont="1" applyFill="1" applyAlignment="1">
      <alignment vertical="center" wrapText="1"/>
    </xf>
    <xf numFmtId="9" fontId="4" fillId="6" borderId="1" xfId="0" applyNumberFormat="1" applyFont="1" applyFill="1" applyBorder="1" applyAlignment="1">
      <alignment horizontal="center" vertical="center" wrapText="1" readingOrder="1"/>
    </xf>
    <xf numFmtId="9" fontId="4" fillId="6" borderId="0" xfId="0" applyNumberFormat="1" applyFont="1" applyFill="1" applyAlignment="1">
      <alignment horizontal="center" vertical="center" wrapText="1" readingOrder="1"/>
    </xf>
    <xf numFmtId="0" fontId="4" fillId="5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D006DDDC-320F-45DB-83A5-C7932229787E}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pplabqa.sharepoint.com/sites/QatarFoundation/Shared%20Documents/QF%20360%20Observatory/Release%202/Data/KPI%20mapping%20-%20DIFI.xlsx" TargetMode="External"/><Relationship Id="rId1" Type="http://schemas.openxmlformats.org/officeDocument/2006/relationships/externalLinkPath" Target="https://applabqa.sharepoint.com/sites/QatarFoundation/Shared%20Documents/QF%20360%20Observatory/Release%203/Data/Release%202/Data/KPI%20mapping%20-%20DIF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Options"/>
      <sheetName val="DIFI"/>
      <sheetName val="DIFI with values"/>
      <sheetName val="Previous KPIs"/>
    </sheetNames>
    <sheetDataSet>
      <sheetData sheetId="0"/>
      <sheetData sheetId="1"/>
      <sheetData sheetId="2"/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ya Munam" id="{CF961348-B9AE-40EA-A345-F947BEB6D874}" userId="S::sanya@applab.qa::d3869cb5-404b-474e-a924-d53d68882191" providerId="AD"/>
  <person displayName="Mohamed Hazem Hussein" id="{7643E611-CBEC-4E46-8432-4D6E037A6205}" userId="S::Hazem.h@applab.qa::d410561a-9320-4342-b242-2f6c4fa4c0c6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032724-09ED-45B4-BF3A-2D6E8EB0481A}" name="Table1" displayName="Table1" ref="B1:U242" totalsRowShown="0" headerRowDxfId="21" dataDxfId="20">
  <autoFilter ref="B1:U242" xr:uid="{5C032724-09ED-45B4-BF3A-2D6E8EB0481A}">
    <filterColumn colId="3">
      <filters>
        <filter val="Social Progress"/>
      </filters>
    </filterColumn>
  </autoFilter>
  <tableColumns count="20">
    <tableColumn id="1" xr3:uid="{178E8CF3-FA2C-4937-9BA3-8C315AC3D766}" name="Entity Name" dataDxfId="19"/>
    <tableColumn id="3" xr3:uid="{623C05BD-52A0-4E66-B4DC-2A6BEA8D71AA}" name=" Proposed Entity Name" dataDxfId="18"/>
    <tableColumn id="2" xr3:uid="{ADEEC1CD-ADFC-400E-9356-15CD9050D6BE}" name="Category" dataDxfId="17"/>
    <tableColumn id="5" xr3:uid="{CDFA299B-584D-4E78-9F78-F6097D39510E}" name="Thematic Area" dataDxfId="16"/>
    <tableColumn id="6" xr3:uid="{36C02C80-A6C8-4C9A-91D0-D4959F72D36D}" name="Performance Framework" dataDxfId="15"/>
    <tableColumn id="7" xr3:uid="{E1F348A7-13DB-448E-BEFC-40C86BDE12FC}" name="KPI Name" dataDxfId="14"/>
    <tableColumn id="8" xr3:uid="{FA330CA3-BEDE-4A9E-A303-ECD2205C743F}" name="KPI Definition" dataDxfId="13"/>
    <tableColumn id="9" xr3:uid="{43710D49-FCB1-4AAD-A1CA-F7956599F3C0}" name="Polarity" dataDxfId="12"/>
    <tableColumn id="14" xr3:uid="{9CF22AF7-64A6-4C46-80AD-B895FE0AEDB3}" name="Actual 2022" dataDxfId="11"/>
    <tableColumn id="15" xr3:uid="{E46A0AD3-DE01-4DB1-88F2-81CB29A1D602}" name="Actual 2023" dataDxfId="10"/>
    <tableColumn id="16" xr3:uid="{A5D91220-60AE-4E80-AF90-F95FA9F46B8A}" name="Actual 2024" dataDxfId="9"/>
    <tableColumn id="17" xr3:uid="{6A41052A-E3C5-4C3F-BA7E-48E2010EC183}" name="Actual 2025" dataDxfId="8"/>
    <tableColumn id="18" xr3:uid="{76EEB4DE-D6E5-42A9-9037-BAF6B905970D}" name="Actual 2026 Q1" dataDxfId="7"/>
    <tableColumn id="19" xr3:uid="{F51CC638-C204-43A1-AB4F-870720C9BB00}" name="Target 2022" dataDxfId="6"/>
    <tableColumn id="20" xr3:uid="{A9DED49E-55CF-4D78-A658-956A37C42CF8}" name="Target 2023" dataDxfId="5"/>
    <tableColumn id="21" xr3:uid="{707384A2-D149-4B3C-8586-7BE68B36512B}" name="Target 2024" dataDxfId="4"/>
    <tableColumn id="22" xr3:uid="{8417A064-3C6D-4839-8B9A-ECAB839E1F66}" name="Target 2025" dataDxfId="3"/>
    <tableColumn id="23" xr3:uid="{599C64DD-CF48-4065-81B8-AACD7C427938}" name="Target 2026" dataDxfId="2"/>
    <tableColumn id="24" xr3:uid="{1523C41E-C44A-40D8-B917-A8A744C77763}" name="Target 2027" dataDxfId="1"/>
    <tableColumn id="25" xr3:uid="{1D3E506D-2F6F-4154-919A-EFD1BCC8840B}" name="Target 2028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2" dT="2026-08-25T06:24:02.01" personId="{CF961348-B9AE-40EA-A345-F947BEB6D874}" id="{C350D3B0-B893-4078-AD97-D02532469B53}">
    <text xml:space="preserve">Update this excel as the categories defined are incorrect for Operational Excellence - Policy Hub Insights
</text>
  </threadedComment>
  <threadedComment ref="G189" dT="2026-06-25T07:12:28.05" personId="{7643E611-CBEC-4E46-8432-4D6E037A6205}" id="{3B542F0B-569E-49F6-8C49-B6992351E089}">
    <text>Renamed to Summit NPS from Conference NPS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8BC0AA4-340D-4237-A73A-72FBB8053BE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52734a10-e625-4256-a688-b22161826082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232CC-FFA1-4696-B567-A0806D264A78}">
  <sheetPr filterMode="1"/>
  <dimension ref="A1:V242"/>
  <sheetViews>
    <sheetView tabSelected="1" zoomScale="97" workbookViewId="0">
      <selection activeCell="B16" sqref="B16"/>
    </sheetView>
  </sheetViews>
  <sheetFormatPr defaultColWidth="9.109375" defaultRowHeight="15" customHeight="1" x14ac:dyDescent="0.3"/>
  <cols>
    <col min="1" max="1" width="27.44140625" style="12" customWidth="1"/>
    <col min="2" max="2" width="27.44140625" style="46" customWidth="1"/>
    <col min="3" max="3" width="27.44140625" style="12" customWidth="1"/>
    <col min="4" max="4" width="37.5546875" style="12" customWidth="1"/>
    <col min="5" max="5" width="29.33203125" style="12" customWidth="1"/>
    <col min="6" max="6" width="25" style="12" customWidth="1"/>
    <col min="7" max="7" width="45.33203125" style="35" customWidth="1"/>
    <col min="8" max="8" width="100.44140625" style="35" customWidth="1"/>
    <col min="9" max="9" width="13.44140625" style="12" customWidth="1"/>
    <col min="10" max="10" width="14.33203125" style="34" customWidth="1"/>
    <col min="11" max="13" width="14.33203125" style="35" customWidth="1"/>
    <col min="14" max="14" width="16" style="35" customWidth="1"/>
    <col min="15" max="15" width="14.33203125" style="34" customWidth="1"/>
    <col min="16" max="21" width="14.33203125" style="35" customWidth="1"/>
    <col min="22" max="22" width="9.109375" style="34"/>
    <col min="23" max="16384" width="9.109375" style="35"/>
  </cols>
  <sheetData>
    <row r="1" spans="1:22" s="1" customFormat="1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7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9" t="s">
        <v>14</v>
      </c>
      <c r="P1" s="30" t="s">
        <v>15</v>
      </c>
      <c r="Q1" s="30" t="s">
        <v>16</v>
      </c>
      <c r="R1" s="30" t="s">
        <v>17</v>
      </c>
      <c r="S1" s="30" t="s">
        <v>18</v>
      </c>
      <c r="T1" s="30" t="s">
        <v>19</v>
      </c>
      <c r="U1" s="30" t="s">
        <v>20</v>
      </c>
      <c r="V1" s="26"/>
    </row>
    <row r="2" spans="1:22" s="67" customFormat="1" ht="15" customHeight="1" x14ac:dyDescent="0.3">
      <c r="A2" s="70" t="s">
        <v>21</v>
      </c>
      <c r="B2" s="60" t="s">
        <v>22</v>
      </c>
      <c r="C2" s="60" t="s">
        <v>22</v>
      </c>
      <c r="D2" s="60" t="s">
        <v>23</v>
      </c>
      <c r="E2" s="61" t="s">
        <v>24</v>
      </c>
      <c r="F2" s="61" t="s">
        <v>25</v>
      </c>
      <c r="G2" s="62" t="s">
        <v>26</v>
      </c>
      <c r="H2" s="62" t="s">
        <v>27</v>
      </c>
      <c r="I2" s="61" t="s">
        <v>28</v>
      </c>
      <c r="J2" s="63">
        <v>0.09</v>
      </c>
      <c r="K2" s="64">
        <v>0.08</v>
      </c>
      <c r="L2" s="64">
        <v>0.09</v>
      </c>
      <c r="M2" s="64">
        <v>0.1</v>
      </c>
      <c r="N2" s="61">
        <v>18</v>
      </c>
      <c r="O2" s="65"/>
      <c r="P2" s="61"/>
      <c r="Q2" s="61"/>
      <c r="R2" s="64">
        <v>0</v>
      </c>
      <c r="S2" s="64">
        <v>0</v>
      </c>
      <c r="T2" s="64">
        <v>0</v>
      </c>
      <c r="U2" s="64">
        <v>0</v>
      </c>
      <c r="V2" s="66"/>
    </row>
    <row r="3" spans="1:22" ht="15" customHeight="1" x14ac:dyDescent="0.3">
      <c r="A3" s="12" t="s">
        <v>21</v>
      </c>
      <c r="B3" s="10" t="s">
        <v>22</v>
      </c>
      <c r="C3" s="10" t="s">
        <v>22</v>
      </c>
      <c r="D3" s="10" t="s">
        <v>23</v>
      </c>
      <c r="E3" s="11" t="s">
        <v>24</v>
      </c>
      <c r="F3" s="11" t="s">
        <v>25</v>
      </c>
      <c r="G3" s="7" t="s">
        <v>29</v>
      </c>
      <c r="H3" s="7" t="s">
        <v>30</v>
      </c>
      <c r="I3" s="11" t="s">
        <v>31</v>
      </c>
      <c r="J3" s="31">
        <v>0.27</v>
      </c>
      <c r="K3" s="32">
        <v>0.27</v>
      </c>
      <c r="L3" s="32">
        <v>0.25</v>
      </c>
      <c r="M3" s="32">
        <v>0.25</v>
      </c>
      <c r="N3" s="12">
        <v>32</v>
      </c>
      <c r="O3" s="33"/>
      <c r="P3" s="32">
        <v>0.25</v>
      </c>
      <c r="Q3" s="32">
        <v>0.27</v>
      </c>
      <c r="R3" s="32">
        <v>0.26</v>
      </c>
      <c r="S3" s="11" t="s">
        <v>32</v>
      </c>
      <c r="T3" s="11" t="s">
        <v>32</v>
      </c>
      <c r="U3" s="11" t="s">
        <v>32</v>
      </c>
    </row>
    <row r="4" spans="1:22" ht="15" customHeight="1" x14ac:dyDescent="0.3">
      <c r="A4" s="12" t="s">
        <v>21</v>
      </c>
      <c r="B4" s="10" t="s">
        <v>22</v>
      </c>
      <c r="C4" s="10" t="s">
        <v>22</v>
      </c>
      <c r="D4" s="10" t="s">
        <v>23</v>
      </c>
      <c r="E4" s="11" t="s">
        <v>24</v>
      </c>
      <c r="F4" s="11" t="s">
        <v>25</v>
      </c>
      <c r="G4" s="7" t="s">
        <v>33</v>
      </c>
      <c r="H4" s="7" t="s">
        <v>34</v>
      </c>
      <c r="I4" s="11" t="s">
        <v>28</v>
      </c>
      <c r="J4" s="33">
        <v>1734</v>
      </c>
      <c r="K4" s="11">
        <v>1793</v>
      </c>
      <c r="L4" s="11">
        <v>1960</v>
      </c>
      <c r="M4" s="11">
        <v>2055</v>
      </c>
      <c r="N4" s="12">
        <v>545</v>
      </c>
      <c r="O4" s="33"/>
      <c r="P4" s="11"/>
      <c r="Q4" s="11"/>
      <c r="R4" s="11">
        <v>1856</v>
      </c>
      <c r="S4" s="11" t="s">
        <v>32</v>
      </c>
      <c r="T4" s="11" t="s">
        <v>32</v>
      </c>
      <c r="U4" s="11" t="s">
        <v>32</v>
      </c>
    </row>
    <row r="5" spans="1:22" s="67" customFormat="1" ht="15" customHeight="1" x14ac:dyDescent="0.3">
      <c r="A5" s="70" t="s">
        <v>21</v>
      </c>
      <c r="B5" s="60" t="s">
        <v>35</v>
      </c>
      <c r="C5" s="61" t="s">
        <v>36</v>
      </c>
      <c r="D5" s="60" t="s">
        <v>37</v>
      </c>
      <c r="E5" s="61" t="s">
        <v>24</v>
      </c>
      <c r="F5" s="61" t="s">
        <v>25</v>
      </c>
      <c r="G5" s="62" t="s">
        <v>38</v>
      </c>
      <c r="H5" s="62" t="s">
        <v>39</v>
      </c>
      <c r="I5" s="61" t="s">
        <v>31</v>
      </c>
      <c r="J5" s="68">
        <v>0.27450000000000002</v>
      </c>
      <c r="K5" s="64">
        <v>0.25</v>
      </c>
      <c r="L5" s="69">
        <v>0.26400000000000001</v>
      </c>
      <c r="M5" s="64">
        <v>0.26</v>
      </c>
      <c r="N5" s="61">
        <v>25</v>
      </c>
      <c r="O5" s="63">
        <v>0.4</v>
      </c>
      <c r="P5" s="64">
        <v>0.4</v>
      </c>
      <c r="Q5" s="64">
        <v>0.4</v>
      </c>
      <c r="R5" s="64">
        <v>0.25</v>
      </c>
      <c r="S5" s="64">
        <v>0.25</v>
      </c>
      <c r="T5" s="64">
        <v>0.25</v>
      </c>
      <c r="U5" s="64">
        <v>0.25</v>
      </c>
      <c r="V5" s="66"/>
    </row>
    <row r="6" spans="1:22" ht="15" customHeight="1" x14ac:dyDescent="0.3">
      <c r="A6" s="12" t="s">
        <v>21</v>
      </c>
      <c r="B6" s="10" t="s">
        <v>35</v>
      </c>
      <c r="C6" s="11" t="s">
        <v>36</v>
      </c>
      <c r="D6" s="10" t="s">
        <v>37</v>
      </c>
      <c r="E6" s="11" t="s">
        <v>24</v>
      </c>
      <c r="F6" s="11" t="s">
        <v>25</v>
      </c>
      <c r="G6" s="7" t="s">
        <v>40</v>
      </c>
      <c r="H6" s="7" t="s">
        <v>41</v>
      </c>
      <c r="I6" s="11" t="s">
        <v>28</v>
      </c>
      <c r="J6" s="36">
        <v>1.6E-2</v>
      </c>
      <c r="K6" s="37">
        <v>4.4999999999999998E-2</v>
      </c>
      <c r="L6" s="37">
        <v>4.3999999999999997E-2</v>
      </c>
      <c r="M6" s="32">
        <v>0.02</v>
      </c>
      <c r="N6" s="11" t="s">
        <v>42</v>
      </c>
      <c r="O6" s="31">
        <v>0.05</v>
      </c>
      <c r="P6" s="32">
        <v>0.05</v>
      </c>
      <c r="Q6" s="32">
        <v>0.05</v>
      </c>
      <c r="R6" s="32">
        <v>0.05</v>
      </c>
      <c r="S6" s="32">
        <v>0.05</v>
      </c>
      <c r="T6" s="32">
        <v>0.05</v>
      </c>
      <c r="U6" s="32">
        <v>0.05</v>
      </c>
    </row>
    <row r="7" spans="1:22" ht="15" customHeight="1" x14ac:dyDescent="0.3">
      <c r="A7" s="12" t="s">
        <v>21</v>
      </c>
      <c r="B7" s="10" t="s">
        <v>35</v>
      </c>
      <c r="C7" s="11" t="s">
        <v>36</v>
      </c>
      <c r="D7" s="10" t="s">
        <v>37</v>
      </c>
      <c r="E7" s="11" t="s">
        <v>24</v>
      </c>
      <c r="F7" s="11" t="s">
        <v>25</v>
      </c>
      <c r="G7" s="7" t="s">
        <v>43</v>
      </c>
      <c r="H7" s="4" t="s">
        <v>44</v>
      </c>
      <c r="I7" s="11" t="s">
        <v>28</v>
      </c>
      <c r="J7" s="33">
        <v>451</v>
      </c>
      <c r="K7" s="11">
        <v>521</v>
      </c>
      <c r="L7" s="11">
        <v>620</v>
      </c>
      <c r="M7" s="11">
        <v>614</v>
      </c>
      <c r="N7" s="11">
        <v>695</v>
      </c>
      <c r="O7" s="33"/>
      <c r="P7" s="11"/>
      <c r="Q7" s="11"/>
      <c r="R7" s="11"/>
      <c r="S7" s="11"/>
      <c r="T7" s="11"/>
      <c r="U7" s="11"/>
    </row>
    <row r="8" spans="1:22" ht="15" customHeight="1" x14ac:dyDescent="0.3">
      <c r="A8" s="12" t="s">
        <v>21</v>
      </c>
      <c r="B8" s="10" t="s">
        <v>35</v>
      </c>
      <c r="C8" s="11" t="s">
        <v>36</v>
      </c>
      <c r="D8" s="10" t="s">
        <v>37</v>
      </c>
      <c r="E8" s="11" t="s">
        <v>24</v>
      </c>
      <c r="F8" s="11" t="s">
        <v>25</v>
      </c>
      <c r="G8" s="7" t="s">
        <v>45</v>
      </c>
      <c r="H8" s="7" t="s">
        <v>46</v>
      </c>
      <c r="I8" s="11" t="s">
        <v>31</v>
      </c>
      <c r="J8" s="36">
        <v>8.4500000000000006E-2</v>
      </c>
      <c r="K8" s="37">
        <v>8.3000000000000004E-2</v>
      </c>
      <c r="L8" s="32">
        <v>0.09</v>
      </c>
      <c r="M8" s="32">
        <v>7.0000000000000007E-2</v>
      </c>
      <c r="N8" s="11">
        <v>1.32</v>
      </c>
      <c r="O8" s="31">
        <v>0.1</v>
      </c>
      <c r="P8" s="32">
        <v>0.1</v>
      </c>
      <c r="Q8" s="32">
        <v>0.1</v>
      </c>
      <c r="R8" s="32">
        <v>0.1</v>
      </c>
      <c r="S8" s="32">
        <v>0.1</v>
      </c>
      <c r="T8" s="32">
        <v>0.1</v>
      </c>
      <c r="U8" s="32">
        <v>0.1</v>
      </c>
    </row>
    <row r="9" spans="1:22" ht="15" customHeight="1" x14ac:dyDescent="0.3">
      <c r="A9" s="12" t="s">
        <v>21</v>
      </c>
      <c r="B9" s="10" t="s">
        <v>35</v>
      </c>
      <c r="C9" s="11" t="s">
        <v>36</v>
      </c>
      <c r="D9" s="10" t="s">
        <v>37</v>
      </c>
      <c r="E9" s="11" t="s">
        <v>24</v>
      </c>
      <c r="F9" s="11" t="s">
        <v>25</v>
      </c>
      <c r="G9" s="7" t="s">
        <v>47</v>
      </c>
      <c r="H9" s="4" t="s">
        <v>48</v>
      </c>
      <c r="I9" s="11" t="s">
        <v>28</v>
      </c>
      <c r="J9" s="33">
        <v>17</v>
      </c>
      <c r="K9" s="11">
        <v>26</v>
      </c>
      <c r="L9" s="11">
        <v>28</v>
      </c>
      <c r="M9" s="11">
        <v>19</v>
      </c>
      <c r="N9" s="11">
        <v>14</v>
      </c>
      <c r="O9" s="33"/>
      <c r="P9" s="11"/>
      <c r="Q9" s="11"/>
      <c r="R9" s="11"/>
      <c r="S9" s="11"/>
      <c r="T9" s="11"/>
      <c r="U9" s="11"/>
    </row>
    <row r="10" spans="1:22" ht="15" customHeight="1" x14ac:dyDescent="0.3">
      <c r="A10" s="12" t="s">
        <v>21</v>
      </c>
      <c r="B10" s="10" t="s">
        <v>35</v>
      </c>
      <c r="C10" s="11" t="s">
        <v>36</v>
      </c>
      <c r="D10" s="10" t="s">
        <v>37</v>
      </c>
      <c r="E10" s="11" t="s">
        <v>24</v>
      </c>
      <c r="F10" s="11" t="s">
        <v>25</v>
      </c>
      <c r="G10" s="7" t="s">
        <v>49</v>
      </c>
      <c r="H10" s="7" t="s">
        <v>50</v>
      </c>
      <c r="I10" s="11" t="s">
        <v>31</v>
      </c>
      <c r="J10" s="33"/>
      <c r="K10" s="32">
        <v>0.79</v>
      </c>
      <c r="L10" s="32">
        <v>0.79</v>
      </c>
      <c r="M10" s="32">
        <v>0.79</v>
      </c>
      <c r="N10" s="11" t="s">
        <v>42</v>
      </c>
      <c r="O10" s="31">
        <v>0.9</v>
      </c>
      <c r="P10" s="32">
        <v>0.85</v>
      </c>
      <c r="Q10" s="32">
        <v>0.85</v>
      </c>
      <c r="R10" s="32">
        <v>0.85</v>
      </c>
      <c r="S10" s="32">
        <v>0.79</v>
      </c>
      <c r="T10" s="32">
        <v>0.79</v>
      </c>
      <c r="U10" s="32">
        <v>0.79</v>
      </c>
    </row>
    <row r="11" spans="1:22" s="67" customFormat="1" ht="15" customHeight="1" x14ac:dyDescent="0.3">
      <c r="A11" s="70" t="s">
        <v>21</v>
      </c>
      <c r="B11" s="60"/>
      <c r="C11" s="61"/>
      <c r="D11" s="60" t="s">
        <v>570</v>
      </c>
      <c r="E11" s="61"/>
      <c r="F11" s="61"/>
      <c r="G11" s="62" t="s">
        <v>51</v>
      </c>
      <c r="H11" s="62" t="s">
        <v>52</v>
      </c>
      <c r="I11" s="61" t="s">
        <v>31</v>
      </c>
      <c r="J11" s="65"/>
      <c r="K11" s="64"/>
      <c r="L11" s="64"/>
      <c r="M11" s="64"/>
      <c r="N11" s="61">
        <v>2</v>
      </c>
      <c r="O11" s="65">
        <v>0</v>
      </c>
      <c r="P11" s="61">
        <v>0</v>
      </c>
      <c r="Q11" s="61">
        <v>0</v>
      </c>
      <c r="R11" s="61">
        <v>0</v>
      </c>
      <c r="S11" s="61">
        <v>6</v>
      </c>
      <c r="T11" s="61">
        <v>6</v>
      </c>
      <c r="U11" s="70">
        <v>6</v>
      </c>
      <c r="V11" s="66"/>
    </row>
    <row r="12" spans="1:22" ht="15" customHeight="1" x14ac:dyDescent="0.3">
      <c r="A12" s="12" t="s">
        <v>21</v>
      </c>
      <c r="B12" s="10" t="s">
        <v>53</v>
      </c>
      <c r="C12" s="11" t="s">
        <v>53</v>
      </c>
      <c r="D12" s="10" t="s">
        <v>570</v>
      </c>
      <c r="E12" s="11" t="s">
        <v>54</v>
      </c>
      <c r="F12" s="11" t="s">
        <v>55</v>
      </c>
      <c r="G12" s="7" t="s">
        <v>56</v>
      </c>
      <c r="H12" s="2" t="s">
        <v>57</v>
      </c>
      <c r="I12" s="11" t="s">
        <v>31</v>
      </c>
      <c r="J12" s="33"/>
      <c r="K12" s="32"/>
      <c r="L12" s="32"/>
      <c r="M12" s="32"/>
      <c r="N12" s="11">
        <v>0</v>
      </c>
      <c r="O12" s="31"/>
      <c r="P12" s="32"/>
      <c r="Q12" s="32"/>
      <c r="R12" s="32"/>
      <c r="S12" s="12">
        <v>1</v>
      </c>
      <c r="T12" s="12">
        <v>1</v>
      </c>
      <c r="U12" s="12">
        <v>1</v>
      </c>
    </row>
    <row r="13" spans="1:22" ht="15" customHeight="1" x14ac:dyDescent="0.3">
      <c r="A13" s="12" t="s">
        <v>21</v>
      </c>
      <c r="B13" s="10" t="s">
        <v>58</v>
      </c>
      <c r="C13" s="11" t="s">
        <v>58</v>
      </c>
      <c r="D13" s="10" t="s">
        <v>570</v>
      </c>
      <c r="E13" s="11" t="s">
        <v>59</v>
      </c>
      <c r="F13" s="11" t="s">
        <v>55</v>
      </c>
      <c r="G13" s="7" t="s">
        <v>60</v>
      </c>
      <c r="H13" s="2" t="s">
        <v>61</v>
      </c>
      <c r="I13" s="11" t="s">
        <v>31</v>
      </c>
      <c r="J13" s="33"/>
      <c r="K13" s="32"/>
      <c r="L13" s="32"/>
      <c r="M13" s="32"/>
      <c r="N13" s="11">
        <v>0</v>
      </c>
      <c r="O13" s="31"/>
      <c r="P13" s="32"/>
      <c r="Q13" s="32"/>
      <c r="R13" s="32"/>
      <c r="S13" s="12">
        <v>2</v>
      </c>
      <c r="T13" s="12">
        <v>2</v>
      </c>
      <c r="U13" s="12">
        <v>2</v>
      </c>
    </row>
    <row r="14" spans="1:22" ht="15" customHeight="1" x14ac:dyDescent="0.3">
      <c r="A14" s="12" t="s">
        <v>21</v>
      </c>
      <c r="B14" s="10" t="s">
        <v>62</v>
      </c>
      <c r="C14" s="11" t="s">
        <v>62</v>
      </c>
      <c r="D14" s="10" t="s">
        <v>570</v>
      </c>
      <c r="E14" s="11" t="s">
        <v>54</v>
      </c>
      <c r="F14" s="11" t="s">
        <v>55</v>
      </c>
      <c r="G14" s="7" t="s">
        <v>63</v>
      </c>
      <c r="H14" s="2" t="s">
        <v>64</v>
      </c>
      <c r="I14" s="11" t="s">
        <v>31</v>
      </c>
      <c r="J14" s="33"/>
      <c r="K14" s="32"/>
      <c r="L14" s="32"/>
      <c r="M14" s="32"/>
      <c r="N14" s="11">
        <v>0</v>
      </c>
      <c r="O14" s="31"/>
      <c r="P14" s="32"/>
      <c r="Q14" s="32"/>
      <c r="R14" s="32"/>
      <c r="S14" s="12">
        <v>1</v>
      </c>
      <c r="T14" s="12">
        <v>1</v>
      </c>
      <c r="U14" s="12">
        <v>1</v>
      </c>
    </row>
    <row r="15" spans="1:22" ht="15" customHeight="1" x14ac:dyDescent="0.3">
      <c r="A15" s="12" t="s">
        <v>21</v>
      </c>
      <c r="B15" s="10" t="s">
        <v>65</v>
      </c>
      <c r="C15" s="11" t="s">
        <v>65</v>
      </c>
      <c r="D15" s="10" t="s">
        <v>570</v>
      </c>
      <c r="E15" s="11" t="s">
        <v>54</v>
      </c>
      <c r="F15" s="11" t="s">
        <v>55</v>
      </c>
      <c r="G15" s="7" t="s">
        <v>66</v>
      </c>
      <c r="H15" s="7" t="s">
        <v>61</v>
      </c>
      <c r="I15" s="11" t="s">
        <v>31</v>
      </c>
      <c r="J15" s="33"/>
      <c r="K15" s="32"/>
      <c r="L15" s="32"/>
      <c r="M15" s="32"/>
      <c r="N15" s="11">
        <v>2</v>
      </c>
      <c r="O15" s="31"/>
      <c r="P15" s="32"/>
      <c r="Q15" s="32"/>
      <c r="R15" s="32"/>
      <c r="S15" s="12">
        <v>1</v>
      </c>
      <c r="T15" s="12">
        <v>1</v>
      </c>
      <c r="U15" s="12">
        <v>1</v>
      </c>
    </row>
    <row r="16" spans="1:22" ht="15" customHeight="1" x14ac:dyDescent="0.3">
      <c r="A16" s="12" t="s">
        <v>21</v>
      </c>
      <c r="B16" s="10"/>
      <c r="C16" s="11"/>
      <c r="D16" s="10" t="s">
        <v>570</v>
      </c>
      <c r="E16" s="11"/>
      <c r="F16" s="11"/>
      <c r="G16" s="7" t="s">
        <v>67</v>
      </c>
      <c r="H16" s="7" t="s">
        <v>68</v>
      </c>
      <c r="I16" s="11" t="s">
        <v>31</v>
      </c>
      <c r="J16" s="33"/>
      <c r="K16" s="32"/>
      <c r="L16" s="32"/>
      <c r="M16" s="32"/>
      <c r="N16" s="11">
        <f t="shared" ref="N16:U16" si="0">SUM(N17:N20)</f>
        <v>4</v>
      </c>
      <c r="O16" s="33">
        <f t="shared" si="0"/>
        <v>0</v>
      </c>
      <c r="P16" s="11">
        <f t="shared" si="0"/>
        <v>0</v>
      </c>
      <c r="Q16" s="11">
        <f t="shared" si="0"/>
        <v>0</v>
      </c>
      <c r="R16" s="11">
        <f t="shared" si="0"/>
        <v>0</v>
      </c>
      <c r="S16" s="11">
        <f t="shared" si="0"/>
        <v>10</v>
      </c>
      <c r="T16" s="11">
        <f t="shared" si="0"/>
        <v>11</v>
      </c>
      <c r="U16" s="12">
        <f t="shared" si="0"/>
        <v>11</v>
      </c>
    </row>
    <row r="17" spans="1:22" ht="15" customHeight="1" x14ac:dyDescent="0.3">
      <c r="A17" s="12" t="s">
        <v>21</v>
      </c>
      <c r="B17" s="10" t="s">
        <v>53</v>
      </c>
      <c r="C17" s="11" t="s">
        <v>53</v>
      </c>
      <c r="D17" s="10" t="s">
        <v>570</v>
      </c>
      <c r="E17" s="11" t="s">
        <v>54</v>
      </c>
      <c r="F17" s="11" t="s">
        <v>55</v>
      </c>
      <c r="G17" s="7" t="s">
        <v>69</v>
      </c>
      <c r="H17" s="2" t="s">
        <v>70</v>
      </c>
      <c r="I17" s="11" t="s">
        <v>31</v>
      </c>
      <c r="J17" s="33"/>
      <c r="K17" s="32"/>
      <c r="L17" s="32"/>
      <c r="M17" s="32"/>
      <c r="N17" s="11">
        <v>0</v>
      </c>
      <c r="O17" s="31"/>
      <c r="P17" s="32"/>
      <c r="Q17" s="32"/>
      <c r="R17" s="32"/>
      <c r="S17" s="12">
        <v>2</v>
      </c>
      <c r="T17" s="12">
        <v>2</v>
      </c>
      <c r="U17" s="12">
        <v>2</v>
      </c>
    </row>
    <row r="18" spans="1:22" ht="15" customHeight="1" x14ac:dyDescent="0.3">
      <c r="A18" s="12" t="s">
        <v>21</v>
      </c>
      <c r="B18" s="10" t="s">
        <v>58</v>
      </c>
      <c r="C18" s="11" t="s">
        <v>58</v>
      </c>
      <c r="D18" s="10" t="s">
        <v>570</v>
      </c>
      <c r="E18" s="11" t="s">
        <v>59</v>
      </c>
      <c r="F18" s="11" t="s">
        <v>71</v>
      </c>
      <c r="G18" s="7" t="s">
        <v>72</v>
      </c>
      <c r="H18" s="2" t="s">
        <v>73</v>
      </c>
      <c r="I18" s="11" t="s">
        <v>31</v>
      </c>
      <c r="J18" s="33"/>
      <c r="K18" s="32"/>
      <c r="L18" s="32"/>
      <c r="M18" s="32"/>
      <c r="N18" s="11">
        <v>2</v>
      </c>
      <c r="O18" s="31"/>
      <c r="P18" s="32"/>
      <c r="Q18" s="32"/>
      <c r="R18" s="32"/>
      <c r="S18" s="12">
        <v>3</v>
      </c>
      <c r="T18" s="12">
        <v>4</v>
      </c>
      <c r="U18" s="12">
        <v>4</v>
      </c>
    </row>
    <row r="19" spans="1:22" ht="15" customHeight="1" x14ac:dyDescent="0.3">
      <c r="A19" s="12" t="s">
        <v>21</v>
      </c>
      <c r="B19" s="10" t="s">
        <v>62</v>
      </c>
      <c r="C19" s="11" t="s">
        <v>62</v>
      </c>
      <c r="D19" s="10" t="s">
        <v>570</v>
      </c>
      <c r="E19" s="11" t="s">
        <v>54</v>
      </c>
      <c r="F19" s="11" t="s">
        <v>55</v>
      </c>
      <c r="G19" s="7" t="s">
        <v>74</v>
      </c>
      <c r="H19" s="2" t="s">
        <v>75</v>
      </c>
      <c r="I19" s="11" t="s">
        <v>31</v>
      </c>
      <c r="J19" s="33"/>
      <c r="K19" s="32"/>
      <c r="L19" s="32"/>
      <c r="M19" s="32"/>
      <c r="N19" s="11">
        <v>0</v>
      </c>
      <c r="O19" s="31"/>
      <c r="P19" s="32"/>
      <c r="Q19" s="32"/>
      <c r="R19" s="32"/>
      <c r="S19" s="12">
        <v>2</v>
      </c>
      <c r="T19" s="12">
        <v>2</v>
      </c>
      <c r="U19" s="12">
        <v>2</v>
      </c>
    </row>
    <row r="20" spans="1:22" ht="15" customHeight="1" x14ac:dyDescent="0.3">
      <c r="A20" s="12" t="s">
        <v>21</v>
      </c>
      <c r="B20" s="10" t="s">
        <v>65</v>
      </c>
      <c r="C20" s="11" t="s">
        <v>65</v>
      </c>
      <c r="D20" s="10" t="s">
        <v>570</v>
      </c>
      <c r="E20" s="11" t="s">
        <v>54</v>
      </c>
      <c r="F20" s="11" t="s">
        <v>55</v>
      </c>
      <c r="G20" s="7" t="s">
        <v>76</v>
      </c>
      <c r="H20" s="2" t="s">
        <v>73</v>
      </c>
      <c r="I20" s="11" t="s">
        <v>31</v>
      </c>
      <c r="J20" s="33"/>
      <c r="K20" s="32"/>
      <c r="L20" s="32"/>
      <c r="M20" s="32"/>
      <c r="N20" s="11">
        <v>2</v>
      </c>
      <c r="O20" s="31"/>
      <c r="P20" s="32"/>
      <c r="Q20" s="32"/>
      <c r="R20" s="32"/>
      <c r="S20" s="12">
        <v>3</v>
      </c>
      <c r="T20" s="12">
        <v>3</v>
      </c>
      <c r="U20" s="12">
        <v>3</v>
      </c>
    </row>
    <row r="21" spans="1:22" s="67" customFormat="1" ht="15" customHeight="1" x14ac:dyDescent="0.3">
      <c r="A21" s="70" t="s">
        <v>21</v>
      </c>
      <c r="B21" s="60" t="s">
        <v>77</v>
      </c>
      <c r="C21" s="61" t="s">
        <v>77</v>
      </c>
      <c r="D21" s="60" t="s">
        <v>78</v>
      </c>
      <c r="E21" s="61" t="s">
        <v>54</v>
      </c>
      <c r="F21" s="61" t="s">
        <v>71</v>
      </c>
      <c r="G21" s="62" t="s">
        <v>79</v>
      </c>
      <c r="H21" s="62" t="s">
        <v>80</v>
      </c>
      <c r="I21" s="61" t="s">
        <v>31</v>
      </c>
      <c r="J21" s="65">
        <v>2026860</v>
      </c>
      <c r="K21" s="61">
        <v>2596700</v>
      </c>
      <c r="L21" s="61">
        <v>3022118</v>
      </c>
      <c r="M21" s="61">
        <v>3051433</v>
      </c>
      <c r="N21" s="71">
        <v>486119</v>
      </c>
      <c r="O21" s="72"/>
      <c r="P21" s="73"/>
      <c r="Q21" s="73"/>
      <c r="R21" s="73"/>
      <c r="S21" s="73"/>
      <c r="T21" s="73"/>
      <c r="U21" s="73"/>
      <c r="V21" s="66"/>
    </row>
    <row r="22" spans="1:22" ht="15" customHeight="1" x14ac:dyDescent="0.3">
      <c r="A22" s="12" t="s">
        <v>21</v>
      </c>
      <c r="B22" s="10" t="s">
        <v>81</v>
      </c>
      <c r="C22" s="11" t="s">
        <v>77</v>
      </c>
      <c r="D22" s="10" t="s">
        <v>78</v>
      </c>
      <c r="E22" s="11" t="s">
        <v>54</v>
      </c>
      <c r="F22" s="11" t="s">
        <v>71</v>
      </c>
      <c r="G22" s="7" t="s">
        <v>82</v>
      </c>
      <c r="H22" s="4" t="s">
        <v>83</v>
      </c>
      <c r="I22" s="11" t="s">
        <v>31</v>
      </c>
      <c r="J22" s="33">
        <v>826</v>
      </c>
      <c r="K22" s="11">
        <v>766</v>
      </c>
      <c r="L22" s="11">
        <v>1503</v>
      </c>
      <c r="M22" s="11">
        <v>2460</v>
      </c>
      <c r="N22" s="38" t="s">
        <v>84</v>
      </c>
      <c r="O22" s="5"/>
      <c r="P22" s="6"/>
      <c r="Q22" s="6"/>
      <c r="R22" s="6"/>
      <c r="S22" s="6"/>
      <c r="T22" s="6"/>
      <c r="U22" s="6"/>
    </row>
    <row r="23" spans="1:22" ht="15" customHeight="1" x14ac:dyDescent="0.3">
      <c r="A23" s="12" t="s">
        <v>21</v>
      </c>
      <c r="B23" s="10" t="s">
        <v>77</v>
      </c>
      <c r="C23" s="11" t="s">
        <v>77</v>
      </c>
      <c r="D23" s="10" t="s">
        <v>78</v>
      </c>
      <c r="E23" s="11" t="s">
        <v>54</v>
      </c>
      <c r="F23" s="11" t="s">
        <v>71</v>
      </c>
      <c r="G23" s="7" t="s">
        <v>85</v>
      </c>
      <c r="H23" s="4" t="s">
        <v>86</v>
      </c>
      <c r="I23" s="11" t="s">
        <v>31</v>
      </c>
      <c r="J23" s="33">
        <v>450583</v>
      </c>
      <c r="K23" s="11">
        <v>39292</v>
      </c>
      <c r="L23" s="39">
        <v>300000</v>
      </c>
      <c r="M23" s="39">
        <v>169546</v>
      </c>
      <c r="N23" s="38">
        <v>0</v>
      </c>
      <c r="O23" s="5"/>
      <c r="P23" s="6"/>
      <c r="Q23" s="6"/>
      <c r="R23" s="6"/>
      <c r="S23" s="6"/>
      <c r="T23" s="6"/>
      <c r="U23" s="6"/>
    </row>
    <row r="24" spans="1:22" ht="15" customHeight="1" x14ac:dyDescent="0.3">
      <c r="A24" s="12" t="s">
        <v>21</v>
      </c>
      <c r="B24" s="10" t="s">
        <v>87</v>
      </c>
      <c r="C24" s="11" t="s">
        <v>87</v>
      </c>
      <c r="D24" s="10" t="s">
        <v>78</v>
      </c>
      <c r="E24" s="38" t="s">
        <v>59</v>
      </c>
      <c r="F24" s="11" t="s">
        <v>55</v>
      </c>
      <c r="G24" s="4" t="s">
        <v>88</v>
      </c>
      <c r="H24" s="4" t="s">
        <v>89</v>
      </c>
      <c r="I24" s="11" t="s">
        <v>31</v>
      </c>
      <c r="J24" s="5">
        <v>3599000</v>
      </c>
      <c r="K24" s="6">
        <v>3415000</v>
      </c>
      <c r="L24" s="6">
        <v>5320000</v>
      </c>
      <c r="M24" s="6">
        <v>5370000</v>
      </c>
      <c r="N24" s="11">
        <v>824104</v>
      </c>
      <c r="O24" s="5"/>
      <c r="P24" s="6"/>
      <c r="Q24" s="6"/>
      <c r="R24" s="6"/>
      <c r="S24" s="11" t="s">
        <v>32</v>
      </c>
      <c r="T24" s="11" t="s">
        <v>32</v>
      </c>
      <c r="U24" s="11" t="s">
        <v>32</v>
      </c>
    </row>
    <row r="25" spans="1:22" ht="15" customHeight="1" x14ac:dyDescent="0.3">
      <c r="A25" s="12" t="s">
        <v>21</v>
      </c>
      <c r="B25" s="10" t="s">
        <v>87</v>
      </c>
      <c r="C25" s="11" t="s">
        <v>87</v>
      </c>
      <c r="D25" s="10" t="s">
        <v>78</v>
      </c>
      <c r="E25" s="38" t="s">
        <v>59</v>
      </c>
      <c r="F25" s="11" t="s">
        <v>55</v>
      </c>
      <c r="G25" s="7" t="s">
        <v>90</v>
      </c>
      <c r="H25" s="4" t="s">
        <v>91</v>
      </c>
      <c r="I25" s="11" t="s">
        <v>31</v>
      </c>
      <c r="J25" s="8">
        <v>0.3</v>
      </c>
      <c r="K25" s="9">
        <v>0.85</v>
      </c>
      <c r="L25" s="9">
        <v>0.95</v>
      </c>
      <c r="M25" s="9">
        <v>0.94</v>
      </c>
      <c r="N25" s="7"/>
      <c r="O25" s="8">
        <v>0.12</v>
      </c>
      <c r="P25" s="9">
        <v>0.5</v>
      </c>
      <c r="Q25" s="9">
        <v>0.95</v>
      </c>
      <c r="R25" s="9">
        <v>0.9</v>
      </c>
      <c r="S25" s="11" t="s">
        <v>32</v>
      </c>
      <c r="T25" s="11" t="s">
        <v>32</v>
      </c>
      <c r="U25" s="11" t="s">
        <v>32</v>
      </c>
    </row>
    <row r="26" spans="1:22" ht="15" customHeight="1" x14ac:dyDescent="0.3">
      <c r="A26" s="12" t="s">
        <v>21</v>
      </c>
      <c r="B26" s="10" t="s">
        <v>87</v>
      </c>
      <c r="C26" s="11" t="s">
        <v>87</v>
      </c>
      <c r="D26" s="10" t="s">
        <v>78</v>
      </c>
      <c r="E26" s="38" t="s">
        <v>59</v>
      </c>
      <c r="F26" s="11" t="s">
        <v>55</v>
      </c>
      <c r="G26" s="7" t="s">
        <v>92</v>
      </c>
      <c r="H26" s="4" t="s">
        <v>93</v>
      </c>
      <c r="I26" s="11" t="s">
        <v>28</v>
      </c>
      <c r="J26" s="40">
        <v>301000</v>
      </c>
      <c r="K26" s="41">
        <v>299000</v>
      </c>
      <c r="L26" s="41">
        <v>303000</v>
      </c>
      <c r="M26" s="41">
        <v>285000</v>
      </c>
      <c r="N26" s="11">
        <v>61379</v>
      </c>
      <c r="O26" s="33"/>
      <c r="P26" s="11"/>
      <c r="Q26" s="11"/>
      <c r="R26" s="41">
        <v>295000</v>
      </c>
      <c r="S26" s="41">
        <v>294950</v>
      </c>
      <c r="T26" s="41">
        <v>240800</v>
      </c>
      <c r="U26" s="41">
        <v>234750</v>
      </c>
    </row>
    <row r="27" spans="1:22" ht="15" customHeight="1" x14ac:dyDescent="0.3">
      <c r="A27" s="12" t="s">
        <v>21</v>
      </c>
      <c r="B27" s="10" t="s">
        <v>87</v>
      </c>
      <c r="C27" s="11" t="s">
        <v>87</v>
      </c>
      <c r="D27" s="10" t="s">
        <v>78</v>
      </c>
      <c r="E27" s="38" t="s">
        <v>59</v>
      </c>
      <c r="F27" s="11" t="s">
        <v>55</v>
      </c>
      <c r="G27" s="7" t="s">
        <v>94</v>
      </c>
      <c r="H27" s="4" t="s">
        <v>95</v>
      </c>
      <c r="I27" s="11" t="s">
        <v>31</v>
      </c>
      <c r="J27" s="8">
        <v>-0.04</v>
      </c>
      <c r="K27" s="9">
        <v>0.05</v>
      </c>
      <c r="L27" s="9">
        <v>0.05</v>
      </c>
      <c r="M27" s="9">
        <v>0.1</v>
      </c>
      <c r="N27" s="11">
        <v>1.32</v>
      </c>
      <c r="O27" s="8">
        <v>0.05</v>
      </c>
      <c r="P27" s="9">
        <v>0.05</v>
      </c>
      <c r="Q27" s="9">
        <v>0.04</v>
      </c>
      <c r="R27" s="9">
        <v>0.02</v>
      </c>
      <c r="S27" s="11" t="s">
        <v>32</v>
      </c>
      <c r="T27" s="11" t="s">
        <v>32</v>
      </c>
      <c r="U27" s="11" t="s">
        <v>32</v>
      </c>
    </row>
    <row r="28" spans="1:22" s="67" customFormat="1" ht="15" customHeight="1" x14ac:dyDescent="0.3">
      <c r="A28" s="70" t="s">
        <v>21</v>
      </c>
      <c r="B28" s="60" t="s">
        <v>96</v>
      </c>
      <c r="C28" s="61" t="s">
        <v>96</v>
      </c>
      <c r="D28" s="60" t="s">
        <v>97</v>
      </c>
      <c r="E28" s="61" t="s">
        <v>98</v>
      </c>
      <c r="F28" s="61" t="s">
        <v>71</v>
      </c>
      <c r="G28" s="62" t="s">
        <v>99</v>
      </c>
      <c r="H28" s="74" t="s">
        <v>100</v>
      </c>
      <c r="I28" s="61" t="s">
        <v>31</v>
      </c>
      <c r="J28" s="65"/>
      <c r="K28" s="61"/>
      <c r="L28" s="61"/>
      <c r="M28" s="71">
        <v>250</v>
      </c>
      <c r="N28" s="71">
        <v>28</v>
      </c>
      <c r="O28" s="72"/>
      <c r="P28" s="73"/>
      <c r="Q28" s="73"/>
      <c r="R28" s="73"/>
      <c r="S28" s="73"/>
      <c r="T28" s="73"/>
      <c r="U28" s="73"/>
      <c r="V28" s="66"/>
    </row>
    <row r="29" spans="1:22" ht="15" customHeight="1" x14ac:dyDescent="0.3">
      <c r="A29" s="12" t="s">
        <v>21</v>
      </c>
      <c r="B29" s="10" t="s">
        <v>77</v>
      </c>
      <c r="C29" s="11" t="s">
        <v>77</v>
      </c>
      <c r="D29" s="10" t="s">
        <v>97</v>
      </c>
      <c r="E29" s="11" t="s">
        <v>101</v>
      </c>
      <c r="F29" s="11" t="s">
        <v>71</v>
      </c>
      <c r="G29" s="7" t="s">
        <v>102</v>
      </c>
      <c r="H29" s="7" t="s">
        <v>103</v>
      </c>
      <c r="I29" s="11" t="s">
        <v>31</v>
      </c>
      <c r="J29" s="42">
        <v>0.4</v>
      </c>
      <c r="K29" s="43">
        <v>0.38</v>
      </c>
      <c r="L29" s="43">
        <v>0.37</v>
      </c>
      <c r="M29" s="43">
        <v>0.35</v>
      </c>
      <c r="N29" s="7"/>
      <c r="O29" s="5"/>
      <c r="P29" s="6"/>
      <c r="Q29" s="6"/>
      <c r="R29" s="6"/>
      <c r="S29" s="6"/>
      <c r="T29" s="6"/>
      <c r="U29" s="6"/>
    </row>
    <row r="30" spans="1:22" ht="15" customHeight="1" x14ac:dyDescent="0.3">
      <c r="A30" s="12" t="s">
        <v>21</v>
      </c>
      <c r="B30" s="10" t="s">
        <v>77</v>
      </c>
      <c r="C30" s="11" t="s">
        <v>77</v>
      </c>
      <c r="D30" s="10" t="s">
        <v>97</v>
      </c>
      <c r="E30" s="11" t="s">
        <v>101</v>
      </c>
      <c r="F30" s="11" t="s">
        <v>71</v>
      </c>
      <c r="G30" s="7" t="s">
        <v>104</v>
      </c>
      <c r="H30" s="7" t="s">
        <v>105</v>
      </c>
      <c r="I30" s="11" t="s">
        <v>31</v>
      </c>
      <c r="J30" s="44">
        <v>2554</v>
      </c>
      <c r="K30" s="38">
        <v>2389</v>
      </c>
      <c r="L30" s="38">
        <v>2623</v>
      </c>
      <c r="M30" s="38">
        <v>2678</v>
      </c>
      <c r="N30" s="7"/>
      <c r="O30" s="5"/>
      <c r="P30" s="6"/>
      <c r="Q30" s="6"/>
      <c r="R30" s="6"/>
      <c r="S30" s="6"/>
      <c r="T30" s="6"/>
      <c r="U30" s="6"/>
    </row>
    <row r="31" spans="1:22" ht="15" customHeight="1" x14ac:dyDescent="0.3">
      <c r="A31" s="12" t="s">
        <v>21</v>
      </c>
      <c r="B31" s="10" t="s">
        <v>77</v>
      </c>
      <c r="C31" s="11" t="s">
        <v>77</v>
      </c>
      <c r="D31" s="10" t="s">
        <v>97</v>
      </c>
      <c r="E31" s="11" t="s">
        <v>98</v>
      </c>
      <c r="F31" s="11" t="s">
        <v>71</v>
      </c>
      <c r="G31" s="7" t="s">
        <v>106</v>
      </c>
      <c r="H31" s="4" t="s">
        <v>107</v>
      </c>
      <c r="I31" s="11" t="s">
        <v>31</v>
      </c>
      <c r="J31" s="44">
        <v>864</v>
      </c>
      <c r="K31" s="38">
        <v>683</v>
      </c>
      <c r="L31" s="38">
        <v>666</v>
      </c>
      <c r="M31" s="38">
        <v>794</v>
      </c>
      <c r="N31" s="4"/>
      <c r="O31" s="5"/>
      <c r="P31" s="6"/>
      <c r="Q31" s="6"/>
      <c r="R31" s="6"/>
      <c r="S31" s="6"/>
      <c r="T31" s="6"/>
      <c r="U31" s="6"/>
    </row>
    <row r="32" spans="1:22" ht="15" customHeight="1" x14ac:dyDescent="0.3">
      <c r="A32" s="12" t="s">
        <v>21</v>
      </c>
      <c r="B32" s="10" t="s">
        <v>77</v>
      </c>
      <c r="C32" s="11" t="s">
        <v>77</v>
      </c>
      <c r="D32" s="10" t="s">
        <v>97</v>
      </c>
      <c r="E32" s="11" t="s">
        <v>108</v>
      </c>
      <c r="F32" s="11" t="s">
        <v>71</v>
      </c>
      <c r="G32" s="7" t="s">
        <v>109</v>
      </c>
      <c r="H32" s="4" t="s">
        <v>110</v>
      </c>
      <c r="I32" s="11" t="s">
        <v>31</v>
      </c>
      <c r="J32" s="44">
        <v>296</v>
      </c>
      <c r="K32" s="38">
        <v>341</v>
      </c>
      <c r="L32" s="38">
        <v>403</v>
      </c>
      <c r="M32" s="38">
        <v>481</v>
      </c>
      <c r="N32" s="4"/>
      <c r="O32" s="5"/>
      <c r="P32" s="6"/>
      <c r="Q32" s="6"/>
      <c r="R32" s="6"/>
      <c r="S32" s="6"/>
      <c r="T32" s="6"/>
      <c r="U32" s="6"/>
    </row>
    <row r="33" spans="1:22" ht="15" customHeight="1" x14ac:dyDescent="0.3">
      <c r="A33" s="12" t="s">
        <v>21</v>
      </c>
      <c r="B33" s="10" t="s">
        <v>77</v>
      </c>
      <c r="C33" s="11" t="s">
        <v>77</v>
      </c>
      <c r="D33" s="10" t="s">
        <v>97</v>
      </c>
      <c r="E33" s="38" t="s">
        <v>59</v>
      </c>
      <c r="F33" s="11" t="s">
        <v>71</v>
      </c>
      <c r="G33" s="7" t="s">
        <v>111</v>
      </c>
      <c r="H33" s="4" t="s">
        <v>112</v>
      </c>
      <c r="I33" s="11" t="s">
        <v>31</v>
      </c>
      <c r="J33" s="5">
        <v>328</v>
      </c>
      <c r="K33" s="6">
        <v>313</v>
      </c>
      <c r="L33" s="6">
        <v>364</v>
      </c>
      <c r="M33" s="38">
        <v>381</v>
      </c>
      <c r="N33" s="4"/>
      <c r="O33" s="5"/>
      <c r="P33" s="6"/>
      <c r="Q33" s="6"/>
      <c r="R33" s="6"/>
      <c r="S33" s="6"/>
      <c r="T33" s="6"/>
      <c r="U33" s="6"/>
    </row>
    <row r="34" spans="1:22" ht="15" customHeight="1" x14ac:dyDescent="0.3">
      <c r="A34" s="12" t="s">
        <v>21</v>
      </c>
      <c r="B34" s="10"/>
      <c r="C34" s="11"/>
      <c r="D34" s="10" t="s">
        <v>97</v>
      </c>
      <c r="E34" s="38"/>
      <c r="F34" s="11"/>
      <c r="G34" s="7" t="s">
        <v>113</v>
      </c>
      <c r="H34" s="4"/>
      <c r="I34" s="11" t="s">
        <v>31</v>
      </c>
      <c r="J34" s="5">
        <f>J30-SUM(J31:J33)</f>
        <v>1066</v>
      </c>
      <c r="K34" s="6">
        <f t="shared" ref="K34:M34" si="1">K30-SUM(K31:K33)</f>
        <v>1052</v>
      </c>
      <c r="L34" s="6">
        <f t="shared" si="1"/>
        <v>1190</v>
      </c>
      <c r="M34" s="6">
        <f t="shared" si="1"/>
        <v>1022</v>
      </c>
      <c r="N34" s="4"/>
      <c r="O34" s="5"/>
      <c r="P34" s="6"/>
      <c r="Q34" s="6"/>
      <c r="R34" s="6"/>
      <c r="S34" s="6"/>
      <c r="T34" s="6"/>
      <c r="U34" s="6"/>
    </row>
    <row r="35" spans="1:22" ht="15" customHeight="1" x14ac:dyDescent="0.3">
      <c r="A35" s="12" t="s">
        <v>21</v>
      </c>
      <c r="B35" s="10" t="s">
        <v>77</v>
      </c>
      <c r="C35" s="11" t="s">
        <v>77</v>
      </c>
      <c r="D35" s="10" t="s">
        <v>97</v>
      </c>
      <c r="E35" s="11" t="s">
        <v>101</v>
      </c>
      <c r="F35" s="11" t="s">
        <v>71</v>
      </c>
      <c r="G35" s="7" t="s">
        <v>114</v>
      </c>
      <c r="H35" s="7" t="s">
        <v>115</v>
      </c>
      <c r="I35" s="11" t="s">
        <v>31</v>
      </c>
      <c r="J35" s="42">
        <v>0.41</v>
      </c>
      <c r="K35" s="43">
        <v>0.53</v>
      </c>
      <c r="L35" s="43">
        <v>0.59</v>
      </c>
      <c r="M35" s="43">
        <v>0.53</v>
      </c>
      <c r="N35" s="7"/>
      <c r="O35" s="5"/>
      <c r="P35" s="6"/>
      <c r="Q35" s="6"/>
      <c r="R35" s="6"/>
      <c r="S35" s="6"/>
      <c r="T35" s="6"/>
      <c r="U35" s="6"/>
    </row>
    <row r="36" spans="1:22" ht="15" customHeight="1" x14ac:dyDescent="0.3">
      <c r="A36" s="12" t="s">
        <v>21</v>
      </c>
      <c r="B36" s="10" t="s">
        <v>77</v>
      </c>
      <c r="C36" s="11" t="s">
        <v>77</v>
      </c>
      <c r="D36" s="10" t="s">
        <v>97</v>
      </c>
      <c r="E36" s="11" t="s">
        <v>101</v>
      </c>
      <c r="F36" s="11" t="s">
        <v>71</v>
      </c>
      <c r="G36" s="7" t="s">
        <v>116</v>
      </c>
      <c r="H36" s="7" t="s">
        <v>117</v>
      </c>
      <c r="I36" s="11" t="s">
        <v>31</v>
      </c>
      <c r="J36" s="44">
        <v>18</v>
      </c>
      <c r="K36" s="38">
        <v>18</v>
      </c>
      <c r="L36" s="38">
        <v>23</v>
      </c>
      <c r="M36" s="38">
        <v>19</v>
      </c>
      <c r="N36" s="7"/>
      <c r="O36" s="5"/>
      <c r="P36" s="6"/>
      <c r="Q36" s="6"/>
      <c r="R36" s="6"/>
      <c r="S36" s="6"/>
      <c r="T36" s="6"/>
      <c r="U36" s="6"/>
    </row>
    <row r="37" spans="1:22" ht="15" customHeight="1" x14ac:dyDescent="0.3">
      <c r="A37" s="12" t="s">
        <v>21</v>
      </c>
      <c r="B37" s="10" t="s">
        <v>77</v>
      </c>
      <c r="C37" s="11" t="s">
        <v>77</v>
      </c>
      <c r="D37" s="10" t="s">
        <v>97</v>
      </c>
      <c r="E37" s="11" t="s">
        <v>98</v>
      </c>
      <c r="F37" s="11" t="s">
        <v>71</v>
      </c>
      <c r="G37" s="7" t="s">
        <v>118</v>
      </c>
      <c r="H37" s="4" t="s">
        <v>119</v>
      </c>
      <c r="I37" s="11" t="s">
        <v>31</v>
      </c>
      <c r="J37" s="44">
        <v>0</v>
      </c>
      <c r="K37" s="38">
        <v>1</v>
      </c>
      <c r="L37" s="38">
        <v>5</v>
      </c>
      <c r="M37" s="38">
        <v>5</v>
      </c>
      <c r="N37" s="4"/>
      <c r="O37" s="5"/>
      <c r="P37" s="6"/>
      <c r="Q37" s="6"/>
      <c r="R37" s="6"/>
      <c r="S37" s="6"/>
      <c r="T37" s="6"/>
      <c r="U37" s="6"/>
    </row>
    <row r="38" spans="1:22" ht="15" customHeight="1" x14ac:dyDescent="0.3">
      <c r="A38" s="12" t="s">
        <v>21</v>
      </c>
      <c r="B38" s="10" t="s">
        <v>77</v>
      </c>
      <c r="C38" s="11" t="s">
        <v>77</v>
      </c>
      <c r="D38" s="10" t="s">
        <v>97</v>
      </c>
      <c r="E38" s="11" t="s">
        <v>108</v>
      </c>
      <c r="F38" s="11" t="s">
        <v>71</v>
      </c>
      <c r="G38" s="7" t="s">
        <v>120</v>
      </c>
      <c r="H38" s="4" t="s">
        <v>121</v>
      </c>
      <c r="I38" s="11" t="s">
        <v>31</v>
      </c>
      <c r="J38" s="44">
        <v>2</v>
      </c>
      <c r="K38" s="38">
        <v>4</v>
      </c>
      <c r="L38" s="38">
        <v>5</v>
      </c>
      <c r="M38" s="38">
        <v>4</v>
      </c>
      <c r="N38" s="4"/>
      <c r="O38" s="5"/>
      <c r="P38" s="6"/>
      <c r="Q38" s="6"/>
      <c r="R38" s="6"/>
      <c r="S38" s="6"/>
      <c r="T38" s="6"/>
      <c r="U38" s="6"/>
    </row>
    <row r="39" spans="1:22" ht="15" customHeight="1" x14ac:dyDescent="0.3">
      <c r="A39" s="12" t="s">
        <v>21</v>
      </c>
      <c r="B39" s="10" t="s">
        <v>77</v>
      </c>
      <c r="C39" s="11" t="s">
        <v>77</v>
      </c>
      <c r="D39" s="10" t="s">
        <v>97</v>
      </c>
      <c r="E39" s="38" t="s">
        <v>59</v>
      </c>
      <c r="F39" s="11" t="s">
        <v>71</v>
      </c>
      <c r="G39" s="7" t="s">
        <v>122</v>
      </c>
      <c r="H39" s="4" t="s">
        <v>123</v>
      </c>
      <c r="I39" s="11" t="s">
        <v>31</v>
      </c>
      <c r="J39" s="5">
        <v>6</v>
      </c>
      <c r="K39" s="6">
        <v>7</v>
      </c>
      <c r="L39" s="6">
        <v>12</v>
      </c>
      <c r="M39" s="38">
        <v>9</v>
      </c>
      <c r="N39" s="4"/>
      <c r="O39" s="5"/>
      <c r="P39" s="6"/>
      <c r="Q39" s="6"/>
      <c r="R39" s="6"/>
      <c r="S39" s="6"/>
      <c r="T39" s="6"/>
      <c r="U39" s="6"/>
    </row>
    <row r="40" spans="1:22" ht="15" customHeight="1" x14ac:dyDescent="0.3">
      <c r="A40" s="12" t="s">
        <v>21</v>
      </c>
      <c r="B40" s="10"/>
      <c r="C40" s="11"/>
      <c r="D40" s="10"/>
      <c r="E40" s="38"/>
      <c r="F40" s="11"/>
      <c r="G40" s="7" t="s">
        <v>124</v>
      </c>
      <c r="H40" s="4"/>
      <c r="I40" s="11" t="s">
        <v>31</v>
      </c>
      <c r="J40" s="5">
        <f>J36-SUM(J37:J39)</f>
        <v>10</v>
      </c>
      <c r="K40" s="6">
        <f t="shared" ref="K40:M40" si="2">K36-SUM(K37:K39)</f>
        <v>6</v>
      </c>
      <c r="L40" s="6">
        <f t="shared" si="2"/>
        <v>1</v>
      </c>
      <c r="M40" s="6">
        <f t="shared" si="2"/>
        <v>1</v>
      </c>
      <c r="N40" s="4"/>
      <c r="O40" s="5"/>
      <c r="P40" s="6"/>
      <c r="Q40" s="6"/>
      <c r="R40" s="6"/>
      <c r="S40" s="6"/>
      <c r="T40" s="6"/>
      <c r="U40" s="6"/>
    </row>
    <row r="41" spans="1:22" ht="15" customHeight="1" x14ac:dyDescent="0.3">
      <c r="A41" s="12" t="s">
        <v>21</v>
      </c>
      <c r="B41" s="10" t="s">
        <v>77</v>
      </c>
      <c r="C41" s="11" t="s">
        <v>77</v>
      </c>
      <c r="D41" s="10" t="s">
        <v>97</v>
      </c>
      <c r="E41" s="11" t="s">
        <v>98</v>
      </c>
      <c r="F41" s="11" t="s">
        <v>71</v>
      </c>
      <c r="G41" s="7" t="s">
        <v>125</v>
      </c>
      <c r="H41" s="4" t="s">
        <v>126</v>
      </c>
      <c r="I41" s="11" t="s">
        <v>31</v>
      </c>
      <c r="J41" s="44">
        <v>0</v>
      </c>
      <c r="K41" s="38">
        <v>2</v>
      </c>
      <c r="L41" s="38">
        <v>2</v>
      </c>
      <c r="M41" s="38">
        <v>3</v>
      </c>
      <c r="N41" s="4"/>
      <c r="O41" s="5"/>
      <c r="P41" s="6"/>
      <c r="Q41" s="6"/>
      <c r="R41" s="6"/>
      <c r="S41" s="6"/>
      <c r="T41" s="6"/>
      <c r="U41" s="6"/>
    </row>
    <row r="42" spans="1:22" ht="15" customHeight="1" x14ac:dyDescent="0.3">
      <c r="A42" s="12" t="s">
        <v>21</v>
      </c>
      <c r="B42" s="10" t="s">
        <v>96</v>
      </c>
      <c r="C42" s="11" t="s">
        <v>96</v>
      </c>
      <c r="D42" s="10" t="s">
        <v>97</v>
      </c>
      <c r="E42" s="11" t="s">
        <v>98</v>
      </c>
      <c r="F42" s="11" t="s">
        <v>71</v>
      </c>
      <c r="G42" s="7" t="s">
        <v>127</v>
      </c>
      <c r="H42" s="4" t="s">
        <v>128</v>
      </c>
      <c r="I42" s="11" t="s">
        <v>31</v>
      </c>
      <c r="J42" s="33"/>
      <c r="K42" s="11"/>
      <c r="L42" s="11"/>
      <c r="M42" s="38">
        <v>35918</v>
      </c>
      <c r="N42" s="38">
        <v>38683</v>
      </c>
      <c r="O42" s="5"/>
      <c r="P42" s="6"/>
      <c r="Q42" s="6"/>
      <c r="R42" s="6"/>
      <c r="S42" s="12">
        <v>30000</v>
      </c>
      <c r="T42" s="12">
        <v>40000</v>
      </c>
      <c r="U42" s="12">
        <v>45000</v>
      </c>
    </row>
    <row r="43" spans="1:22" ht="15" customHeight="1" x14ac:dyDescent="0.3">
      <c r="A43" s="12" t="s">
        <v>21</v>
      </c>
      <c r="B43" s="10" t="s">
        <v>129</v>
      </c>
      <c r="C43" s="11" t="s">
        <v>129</v>
      </c>
      <c r="D43" s="10" t="s">
        <v>97</v>
      </c>
      <c r="E43" s="11" t="s">
        <v>98</v>
      </c>
      <c r="F43" s="11" t="s">
        <v>55</v>
      </c>
      <c r="G43" s="7" t="s">
        <v>130</v>
      </c>
      <c r="H43" s="7" t="s">
        <v>131</v>
      </c>
      <c r="I43" s="11" t="s">
        <v>31</v>
      </c>
      <c r="J43" s="8" t="s">
        <v>42</v>
      </c>
      <c r="K43" s="9">
        <v>0.68</v>
      </c>
      <c r="L43" s="9">
        <v>0.72</v>
      </c>
      <c r="M43" s="9">
        <v>0.85</v>
      </c>
      <c r="N43" s="11">
        <v>61</v>
      </c>
      <c r="O43" s="33"/>
      <c r="P43" s="43">
        <v>0.5</v>
      </c>
      <c r="Q43" s="32">
        <v>0.5</v>
      </c>
      <c r="R43" s="32">
        <v>0.5</v>
      </c>
      <c r="S43" s="32">
        <v>0.55000000000000004</v>
      </c>
      <c r="T43" s="32">
        <v>0.55000000000000004</v>
      </c>
      <c r="U43" s="32">
        <v>0.6</v>
      </c>
    </row>
    <row r="44" spans="1:22" ht="15" customHeight="1" x14ac:dyDescent="0.3">
      <c r="A44" s="12" t="s">
        <v>21</v>
      </c>
      <c r="B44" s="10" t="s">
        <v>129</v>
      </c>
      <c r="C44" s="11" t="s">
        <v>129</v>
      </c>
      <c r="D44" s="10" t="s">
        <v>97</v>
      </c>
      <c r="E44" s="11" t="s">
        <v>98</v>
      </c>
      <c r="F44" s="11" t="s">
        <v>55</v>
      </c>
      <c r="G44" s="7" t="s">
        <v>132</v>
      </c>
      <c r="H44" s="7" t="s">
        <v>133</v>
      </c>
      <c r="I44" s="11" t="s">
        <v>31</v>
      </c>
      <c r="J44" s="8">
        <v>0.39</v>
      </c>
      <c r="K44" s="9">
        <v>0.36</v>
      </c>
      <c r="L44" s="9">
        <v>0.39</v>
      </c>
      <c r="M44" s="9">
        <v>0.36</v>
      </c>
      <c r="N44" s="11">
        <v>30.5</v>
      </c>
      <c r="O44" s="31">
        <v>0.4</v>
      </c>
      <c r="P44" s="32">
        <v>0.4</v>
      </c>
      <c r="Q44" s="32">
        <v>0.4</v>
      </c>
      <c r="R44" s="32">
        <v>0.4</v>
      </c>
      <c r="S44" s="32">
        <v>0.45</v>
      </c>
      <c r="T44" s="32">
        <v>0.45</v>
      </c>
      <c r="U44" s="32">
        <v>0.5</v>
      </c>
    </row>
    <row r="45" spans="1:22" ht="15" customHeight="1" x14ac:dyDescent="0.3">
      <c r="A45" s="12" t="s">
        <v>21</v>
      </c>
      <c r="B45" s="10" t="s">
        <v>134</v>
      </c>
      <c r="C45" s="11" t="s">
        <v>134</v>
      </c>
      <c r="D45" s="10" t="s">
        <v>97</v>
      </c>
      <c r="E45" s="11" t="s">
        <v>108</v>
      </c>
      <c r="F45" s="11" t="s">
        <v>71</v>
      </c>
      <c r="G45" s="7" t="s">
        <v>135</v>
      </c>
      <c r="H45" s="7" t="s">
        <v>136</v>
      </c>
      <c r="I45" s="11" t="s">
        <v>31</v>
      </c>
      <c r="J45" s="44" t="s">
        <v>42</v>
      </c>
      <c r="K45" s="38">
        <v>30</v>
      </c>
      <c r="L45" s="38">
        <v>19</v>
      </c>
      <c r="M45" s="38">
        <v>42</v>
      </c>
      <c r="N45" s="4"/>
      <c r="O45" s="5"/>
      <c r="P45" s="6"/>
      <c r="Q45" s="6"/>
      <c r="R45" s="6"/>
      <c r="S45" s="6"/>
      <c r="T45" s="6"/>
      <c r="U45" s="6"/>
    </row>
    <row r="46" spans="1:22" ht="15" customHeight="1" x14ac:dyDescent="0.3">
      <c r="A46" s="12" t="s">
        <v>21</v>
      </c>
      <c r="B46" s="10" t="s">
        <v>134</v>
      </c>
      <c r="C46" s="11" t="s">
        <v>134</v>
      </c>
      <c r="D46" s="10" t="s">
        <v>97</v>
      </c>
      <c r="E46" s="11" t="s">
        <v>108</v>
      </c>
      <c r="F46" s="11" t="s">
        <v>71</v>
      </c>
      <c r="G46" s="7" t="s">
        <v>137</v>
      </c>
      <c r="H46" s="4" t="s">
        <v>138</v>
      </c>
      <c r="I46" s="11" t="s">
        <v>31</v>
      </c>
      <c r="J46" s="44">
        <v>1</v>
      </c>
      <c r="K46" s="38">
        <v>2</v>
      </c>
      <c r="L46" s="38">
        <v>3</v>
      </c>
      <c r="M46" s="38">
        <v>2</v>
      </c>
      <c r="N46" s="4"/>
      <c r="O46" s="5"/>
      <c r="P46" s="6"/>
      <c r="Q46" s="6"/>
      <c r="R46" s="6"/>
      <c r="S46" s="6"/>
      <c r="T46" s="6"/>
      <c r="U46" s="6"/>
    </row>
    <row r="47" spans="1:22" ht="15" customHeight="1" x14ac:dyDescent="0.3">
      <c r="A47" s="12" t="s">
        <v>21</v>
      </c>
      <c r="B47" s="10" t="s">
        <v>53</v>
      </c>
      <c r="C47" s="11" t="s">
        <v>53</v>
      </c>
      <c r="D47" s="4" t="s">
        <v>97</v>
      </c>
      <c r="E47" s="11" t="s">
        <v>54</v>
      </c>
      <c r="F47" s="11" t="s">
        <v>71</v>
      </c>
      <c r="G47" s="7" t="s">
        <v>139</v>
      </c>
      <c r="H47" s="4" t="s">
        <v>140</v>
      </c>
      <c r="I47" s="11" t="s">
        <v>31</v>
      </c>
      <c r="J47" s="44">
        <v>34</v>
      </c>
      <c r="K47" s="38">
        <v>20</v>
      </c>
      <c r="L47" s="38">
        <v>34</v>
      </c>
      <c r="M47" s="38">
        <v>27</v>
      </c>
      <c r="N47" s="4"/>
      <c r="O47" s="5"/>
      <c r="P47" s="6"/>
      <c r="Q47" s="6"/>
      <c r="R47" s="6"/>
      <c r="S47" s="6"/>
      <c r="T47" s="6"/>
      <c r="U47" s="6"/>
    </row>
    <row r="48" spans="1:22" s="67" customFormat="1" ht="15" customHeight="1" x14ac:dyDescent="0.3">
      <c r="A48" s="70" t="s">
        <v>21</v>
      </c>
      <c r="B48" s="74" t="s">
        <v>141</v>
      </c>
      <c r="C48" s="71" t="s">
        <v>142</v>
      </c>
      <c r="D48" s="74" t="s">
        <v>143</v>
      </c>
      <c r="E48" s="61" t="s">
        <v>144</v>
      </c>
      <c r="F48" s="61" t="s">
        <v>71</v>
      </c>
      <c r="G48" s="62" t="s">
        <v>145</v>
      </c>
      <c r="H48" s="74" t="s">
        <v>146</v>
      </c>
      <c r="I48" s="61" t="s">
        <v>31</v>
      </c>
      <c r="J48" s="75">
        <v>788</v>
      </c>
      <c r="K48" s="71">
        <v>899</v>
      </c>
      <c r="L48" s="71">
        <v>963</v>
      </c>
      <c r="M48" s="71">
        <v>1027</v>
      </c>
      <c r="N48" s="74"/>
      <c r="O48" s="72"/>
      <c r="P48" s="73"/>
      <c r="Q48" s="73"/>
      <c r="R48" s="73"/>
      <c r="S48" s="73"/>
      <c r="T48" s="73"/>
      <c r="U48" s="73"/>
      <c r="V48" s="66"/>
    </row>
    <row r="49" spans="1:22" ht="15" customHeight="1" x14ac:dyDescent="0.3">
      <c r="A49" s="12" t="s">
        <v>21</v>
      </c>
      <c r="B49" s="10" t="s">
        <v>147</v>
      </c>
      <c r="C49" s="11" t="s">
        <v>142</v>
      </c>
      <c r="D49" s="4" t="s">
        <v>143</v>
      </c>
      <c r="E49" s="11" t="s">
        <v>98</v>
      </c>
      <c r="F49" s="11" t="s">
        <v>71</v>
      </c>
      <c r="G49" s="7" t="s">
        <v>148</v>
      </c>
      <c r="H49" s="4" t="s">
        <v>149</v>
      </c>
      <c r="I49" s="11" t="s">
        <v>31</v>
      </c>
      <c r="J49" s="44">
        <v>103</v>
      </c>
      <c r="K49" s="38">
        <v>92</v>
      </c>
      <c r="L49" s="38">
        <v>105</v>
      </c>
      <c r="M49" s="38">
        <v>99</v>
      </c>
      <c r="N49" s="4"/>
      <c r="O49" s="5"/>
      <c r="P49" s="6"/>
      <c r="Q49" s="6"/>
      <c r="R49" s="6"/>
      <c r="S49" s="6"/>
      <c r="T49" s="6"/>
      <c r="U49" s="6"/>
    </row>
    <row r="50" spans="1:22" ht="15" customHeight="1" x14ac:dyDescent="0.3">
      <c r="A50" s="12" t="s">
        <v>21</v>
      </c>
      <c r="B50" s="10" t="s">
        <v>147</v>
      </c>
      <c r="C50" s="11" t="s">
        <v>142</v>
      </c>
      <c r="D50" s="4" t="s">
        <v>143</v>
      </c>
      <c r="E50" s="11" t="s">
        <v>108</v>
      </c>
      <c r="F50" s="11" t="s">
        <v>71</v>
      </c>
      <c r="G50" s="7" t="s">
        <v>150</v>
      </c>
      <c r="H50" s="4" t="s">
        <v>151</v>
      </c>
      <c r="I50" s="11" t="s">
        <v>31</v>
      </c>
      <c r="J50" s="44">
        <v>84</v>
      </c>
      <c r="K50" s="38">
        <v>100</v>
      </c>
      <c r="L50" s="38">
        <v>114</v>
      </c>
      <c r="M50" s="38">
        <v>119</v>
      </c>
      <c r="N50" s="4"/>
      <c r="O50" s="5"/>
      <c r="P50" s="6"/>
      <c r="Q50" s="6"/>
      <c r="R50" s="6"/>
      <c r="S50" s="6"/>
      <c r="T50" s="6"/>
      <c r="U50" s="6"/>
    </row>
    <row r="51" spans="1:22" ht="15" customHeight="1" x14ac:dyDescent="0.3">
      <c r="A51" s="12" t="s">
        <v>21</v>
      </c>
      <c r="B51" s="4" t="s">
        <v>141</v>
      </c>
      <c r="C51" s="38" t="s">
        <v>142</v>
      </c>
      <c r="D51" s="4" t="s">
        <v>143</v>
      </c>
      <c r="E51" s="11" t="s">
        <v>59</v>
      </c>
      <c r="F51" s="11" t="s">
        <v>71</v>
      </c>
      <c r="G51" s="7" t="s">
        <v>152</v>
      </c>
      <c r="H51" s="4" t="s">
        <v>153</v>
      </c>
      <c r="I51" s="11" t="s">
        <v>31</v>
      </c>
      <c r="J51" s="33">
        <v>162</v>
      </c>
      <c r="K51" s="11">
        <v>173</v>
      </c>
      <c r="L51" s="11">
        <v>180</v>
      </c>
      <c r="M51" s="38">
        <v>166</v>
      </c>
      <c r="N51" s="4"/>
      <c r="O51" s="5"/>
      <c r="P51" s="6"/>
      <c r="Q51" s="6"/>
      <c r="R51" s="6"/>
      <c r="S51" s="6"/>
      <c r="T51" s="6"/>
      <c r="U51" s="6"/>
    </row>
    <row r="52" spans="1:22" ht="15" customHeight="1" x14ac:dyDescent="0.3">
      <c r="A52" s="12" t="s">
        <v>21</v>
      </c>
      <c r="B52" s="4" t="s">
        <v>141</v>
      </c>
      <c r="C52" s="38" t="s">
        <v>142</v>
      </c>
      <c r="D52" s="4" t="s">
        <v>143</v>
      </c>
      <c r="E52" s="11" t="s">
        <v>54</v>
      </c>
      <c r="F52" s="11" t="s">
        <v>71</v>
      </c>
      <c r="G52" s="7" t="s">
        <v>154</v>
      </c>
      <c r="H52" s="4" t="s">
        <v>155</v>
      </c>
      <c r="I52" s="11" t="s">
        <v>31</v>
      </c>
      <c r="J52" s="33">
        <v>439</v>
      </c>
      <c r="K52" s="11">
        <v>534</v>
      </c>
      <c r="L52" s="11">
        <v>564</v>
      </c>
      <c r="M52" s="38">
        <v>641</v>
      </c>
      <c r="N52" s="4"/>
      <c r="O52" s="5"/>
      <c r="P52" s="6"/>
      <c r="Q52" s="6"/>
      <c r="R52" s="6"/>
      <c r="S52" s="6"/>
      <c r="T52" s="6"/>
      <c r="U52" s="6"/>
    </row>
    <row r="53" spans="1:22" ht="15" customHeight="1" x14ac:dyDescent="0.3">
      <c r="A53" s="12" t="s">
        <v>21</v>
      </c>
      <c r="B53" s="4" t="s">
        <v>141</v>
      </c>
      <c r="C53" s="38" t="s">
        <v>142</v>
      </c>
      <c r="D53" s="4" t="s">
        <v>143</v>
      </c>
      <c r="E53" s="11" t="s">
        <v>144</v>
      </c>
      <c r="F53" s="11" t="s">
        <v>71</v>
      </c>
      <c r="G53" s="7" t="s">
        <v>156</v>
      </c>
      <c r="H53" s="4" t="s">
        <v>157</v>
      </c>
      <c r="I53" s="11" t="s">
        <v>31</v>
      </c>
      <c r="J53" s="42">
        <v>0.48</v>
      </c>
      <c r="K53" s="43">
        <v>0.45</v>
      </c>
      <c r="L53" s="43">
        <v>0.47</v>
      </c>
      <c r="M53" s="43">
        <v>0.42</v>
      </c>
      <c r="N53" s="4"/>
      <c r="O53" s="5"/>
      <c r="P53" s="6"/>
      <c r="Q53" s="6"/>
      <c r="R53" s="6"/>
      <c r="S53" s="6"/>
      <c r="T53" s="6"/>
      <c r="U53" s="6"/>
    </row>
    <row r="54" spans="1:22" ht="15" customHeight="1" x14ac:dyDescent="0.3">
      <c r="A54" s="12" t="s">
        <v>21</v>
      </c>
      <c r="B54" s="4" t="s">
        <v>141</v>
      </c>
      <c r="C54" s="38" t="s">
        <v>142</v>
      </c>
      <c r="D54" s="4" t="s">
        <v>143</v>
      </c>
      <c r="E54" s="11" t="s">
        <v>144</v>
      </c>
      <c r="F54" s="11" t="s">
        <v>71</v>
      </c>
      <c r="G54" s="7" t="s">
        <v>158</v>
      </c>
      <c r="H54" s="4" t="s">
        <v>159</v>
      </c>
      <c r="I54" s="11" t="s">
        <v>31</v>
      </c>
      <c r="J54" s="42">
        <v>0.52</v>
      </c>
      <c r="K54" s="43">
        <v>0.55000000000000004</v>
      </c>
      <c r="L54" s="43">
        <v>0.53</v>
      </c>
      <c r="M54" s="43">
        <v>0.57999999999999996</v>
      </c>
      <c r="N54" s="4"/>
      <c r="O54" s="5"/>
      <c r="P54" s="6"/>
      <c r="Q54" s="6"/>
      <c r="R54" s="6"/>
      <c r="S54" s="6"/>
      <c r="T54" s="6"/>
      <c r="U54" s="6"/>
    </row>
    <row r="55" spans="1:22" ht="15" customHeight="1" x14ac:dyDescent="0.3">
      <c r="A55" s="12" t="s">
        <v>21</v>
      </c>
      <c r="B55" s="4" t="s">
        <v>141</v>
      </c>
      <c r="C55" s="38" t="s">
        <v>142</v>
      </c>
      <c r="D55" s="4" t="s">
        <v>143</v>
      </c>
      <c r="E55" s="11" t="s">
        <v>144</v>
      </c>
      <c r="F55" s="11" t="s">
        <v>71</v>
      </c>
      <c r="G55" s="7" t="s">
        <v>160</v>
      </c>
      <c r="H55" s="4" t="s">
        <v>161</v>
      </c>
      <c r="I55" s="11" t="s">
        <v>31</v>
      </c>
      <c r="J55" s="42">
        <v>0.32</v>
      </c>
      <c r="K55" s="43">
        <v>0.39</v>
      </c>
      <c r="L55" s="43">
        <v>0.39</v>
      </c>
      <c r="M55" s="43">
        <v>0.39</v>
      </c>
      <c r="N55" s="4"/>
      <c r="O55" s="5"/>
      <c r="P55" s="6"/>
      <c r="Q55" s="6"/>
      <c r="R55" s="6"/>
      <c r="S55" s="6"/>
      <c r="T55" s="6"/>
      <c r="U55" s="6"/>
    </row>
    <row r="56" spans="1:22" ht="15" customHeight="1" x14ac:dyDescent="0.3">
      <c r="A56" s="12" t="s">
        <v>21</v>
      </c>
      <c r="B56" s="4" t="s">
        <v>141</v>
      </c>
      <c r="C56" s="38" t="s">
        <v>142</v>
      </c>
      <c r="D56" s="4" t="s">
        <v>143</v>
      </c>
      <c r="E56" s="11" t="s">
        <v>144</v>
      </c>
      <c r="F56" s="11" t="s">
        <v>71</v>
      </c>
      <c r="G56" s="7" t="s">
        <v>162</v>
      </c>
      <c r="H56" s="4" t="s">
        <v>163</v>
      </c>
      <c r="I56" s="11" t="s">
        <v>31</v>
      </c>
      <c r="J56" s="42">
        <v>0.68</v>
      </c>
      <c r="K56" s="43">
        <v>0.61</v>
      </c>
      <c r="L56" s="43">
        <v>0.61</v>
      </c>
      <c r="M56" s="43">
        <v>0.61</v>
      </c>
      <c r="N56" s="4"/>
      <c r="O56" s="5"/>
      <c r="P56" s="6"/>
      <c r="Q56" s="6"/>
      <c r="R56" s="6"/>
      <c r="S56" s="6"/>
      <c r="T56" s="6"/>
      <c r="U56" s="6"/>
    </row>
    <row r="57" spans="1:22" ht="15" customHeight="1" x14ac:dyDescent="0.3">
      <c r="A57" s="12" t="s">
        <v>21</v>
      </c>
      <c r="B57" s="4" t="s">
        <v>141</v>
      </c>
      <c r="C57" s="38" t="s">
        <v>142</v>
      </c>
      <c r="D57" s="4" t="s">
        <v>143</v>
      </c>
      <c r="E57" s="11" t="s">
        <v>144</v>
      </c>
      <c r="F57" s="11" t="s">
        <v>71</v>
      </c>
      <c r="G57" s="7" t="s">
        <v>164</v>
      </c>
      <c r="H57" s="4" t="s">
        <v>165</v>
      </c>
      <c r="I57" s="11" t="s">
        <v>31</v>
      </c>
      <c r="J57" s="42">
        <v>0.42</v>
      </c>
      <c r="K57" s="43">
        <v>0.32</v>
      </c>
      <c r="L57" s="43">
        <v>0.39</v>
      </c>
      <c r="M57" s="43">
        <v>0.39</v>
      </c>
      <c r="N57" s="4"/>
      <c r="O57" s="5"/>
      <c r="P57" s="6"/>
      <c r="Q57" s="6"/>
      <c r="R57" s="6"/>
      <c r="S57" s="6"/>
      <c r="T57" s="6"/>
      <c r="U57" s="6"/>
    </row>
    <row r="58" spans="1:22" ht="15" customHeight="1" x14ac:dyDescent="0.3">
      <c r="A58" s="12" t="s">
        <v>21</v>
      </c>
      <c r="B58" s="4" t="s">
        <v>141</v>
      </c>
      <c r="C58" s="38" t="s">
        <v>142</v>
      </c>
      <c r="D58" s="4" t="s">
        <v>143</v>
      </c>
      <c r="E58" s="11" t="s">
        <v>144</v>
      </c>
      <c r="F58" s="11" t="s">
        <v>71</v>
      </c>
      <c r="G58" s="7" t="s">
        <v>166</v>
      </c>
      <c r="H58" s="4" t="s">
        <v>167</v>
      </c>
      <c r="I58" s="11" t="s">
        <v>31</v>
      </c>
      <c r="J58" s="42">
        <v>0.57999999999999996</v>
      </c>
      <c r="K58" s="43">
        <v>0.68</v>
      </c>
      <c r="L58" s="43">
        <v>0.61</v>
      </c>
      <c r="M58" s="43">
        <v>0.61</v>
      </c>
      <c r="N58" s="4"/>
      <c r="O58" s="5"/>
      <c r="P58" s="6"/>
      <c r="Q58" s="6"/>
      <c r="R58" s="6"/>
      <c r="S58" s="6"/>
      <c r="T58" s="6"/>
      <c r="U58" s="6"/>
    </row>
    <row r="59" spans="1:22" ht="15" customHeight="1" x14ac:dyDescent="0.3">
      <c r="A59" s="12" t="s">
        <v>21</v>
      </c>
      <c r="B59" s="4" t="s">
        <v>141</v>
      </c>
      <c r="C59" s="38" t="s">
        <v>142</v>
      </c>
      <c r="D59" s="4" t="s">
        <v>143</v>
      </c>
      <c r="E59" s="11" t="s">
        <v>144</v>
      </c>
      <c r="F59" s="11" t="s">
        <v>55</v>
      </c>
      <c r="G59" s="7" t="s">
        <v>168</v>
      </c>
      <c r="H59" s="4" t="s">
        <v>169</v>
      </c>
      <c r="I59" s="11" t="s">
        <v>31</v>
      </c>
      <c r="J59" s="42">
        <v>0.68</v>
      </c>
      <c r="K59" s="43">
        <v>0.74</v>
      </c>
      <c r="L59" s="43">
        <v>0.75</v>
      </c>
      <c r="M59" s="43">
        <v>0.84</v>
      </c>
      <c r="N59" s="4"/>
      <c r="O59" s="5"/>
      <c r="P59" s="6"/>
      <c r="Q59" s="6"/>
      <c r="R59" s="6"/>
      <c r="S59" s="6"/>
      <c r="T59" s="6"/>
      <c r="U59" s="6"/>
    </row>
    <row r="60" spans="1:22" ht="15" customHeight="1" x14ac:dyDescent="0.3">
      <c r="A60" s="12" t="s">
        <v>21</v>
      </c>
      <c r="B60" s="4" t="s">
        <v>141</v>
      </c>
      <c r="C60" s="38" t="s">
        <v>142</v>
      </c>
      <c r="D60" s="4" t="s">
        <v>143</v>
      </c>
      <c r="E60" s="11" t="s">
        <v>144</v>
      </c>
      <c r="F60" s="11" t="s">
        <v>55</v>
      </c>
      <c r="G60" s="7" t="s">
        <v>170</v>
      </c>
      <c r="H60" s="4" t="s">
        <v>171</v>
      </c>
      <c r="I60" s="11" t="s">
        <v>31</v>
      </c>
      <c r="J60" s="42">
        <v>0.45</v>
      </c>
      <c r="K60" s="43">
        <v>0.57999999999999996</v>
      </c>
      <c r="L60" s="43">
        <v>0.6</v>
      </c>
      <c r="M60" s="43">
        <v>0.65</v>
      </c>
      <c r="N60" s="4"/>
      <c r="O60" s="5"/>
      <c r="P60" s="6"/>
      <c r="Q60" s="6"/>
      <c r="R60" s="6"/>
      <c r="S60" s="6"/>
      <c r="T60" s="6"/>
      <c r="U60" s="6"/>
    </row>
    <row r="61" spans="1:22" s="67" customFormat="1" ht="15" customHeight="1" x14ac:dyDescent="0.3">
      <c r="A61" s="70" t="s">
        <v>21</v>
      </c>
      <c r="B61" s="74" t="s">
        <v>172</v>
      </c>
      <c r="C61" s="71" t="s">
        <v>172</v>
      </c>
      <c r="D61" s="74" t="s">
        <v>173</v>
      </c>
      <c r="E61" s="61" t="s">
        <v>144</v>
      </c>
      <c r="F61" s="61" t="s">
        <v>71</v>
      </c>
      <c r="G61" s="62" t="s">
        <v>174</v>
      </c>
      <c r="H61" s="76" t="s">
        <v>175</v>
      </c>
      <c r="I61" s="61" t="s">
        <v>31</v>
      </c>
      <c r="J61" s="75">
        <v>421</v>
      </c>
      <c r="K61" s="71">
        <v>478</v>
      </c>
      <c r="L61" s="71">
        <v>617</v>
      </c>
      <c r="M61" s="71">
        <v>612</v>
      </c>
      <c r="N61" s="74"/>
      <c r="O61" s="72"/>
      <c r="P61" s="73"/>
      <c r="Q61" s="73"/>
      <c r="R61" s="73"/>
      <c r="S61" s="73"/>
      <c r="T61" s="73"/>
      <c r="U61" s="73"/>
      <c r="V61" s="66"/>
    </row>
    <row r="62" spans="1:22" ht="15" customHeight="1" x14ac:dyDescent="0.3">
      <c r="A62" s="12" t="s">
        <v>21</v>
      </c>
      <c r="B62" s="4" t="s">
        <v>172</v>
      </c>
      <c r="C62" s="38" t="s">
        <v>172</v>
      </c>
      <c r="D62" s="4" t="s">
        <v>173</v>
      </c>
      <c r="E62" s="11" t="s">
        <v>144</v>
      </c>
      <c r="F62" s="11" t="s">
        <v>71</v>
      </c>
      <c r="G62" s="7" t="s">
        <v>176</v>
      </c>
      <c r="H62" s="2" t="s">
        <v>177</v>
      </c>
      <c r="I62" s="11" t="s">
        <v>31</v>
      </c>
      <c r="J62" s="42">
        <v>0.75</v>
      </c>
      <c r="K62" s="43">
        <v>0.74</v>
      </c>
      <c r="L62" s="43">
        <v>0.74</v>
      </c>
      <c r="M62" s="43">
        <v>0.75</v>
      </c>
      <c r="N62" s="4"/>
      <c r="O62" s="5"/>
      <c r="P62" s="6"/>
      <c r="Q62" s="6"/>
      <c r="R62" s="6"/>
      <c r="S62" s="6"/>
      <c r="T62" s="6"/>
      <c r="U62" s="6"/>
    </row>
    <row r="63" spans="1:22" ht="15" customHeight="1" x14ac:dyDescent="0.3">
      <c r="A63" s="12" t="s">
        <v>21</v>
      </c>
      <c r="B63" s="4" t="s">
        <v>172</v>
      </c>
      <c r="C63" s="38" t="s">
        <v>172</v>
      </c>
      <c r="D63" s="4" t="s">
        <v>173</v>
      </c>
      <c r="E63" s="11" t="s">
        <v>144</v>
      </c>
      <c r="F63" s="11" t="s">
        <v>71</v>
      </c>
      <c r="G63" s="7" t="s">
        <v>178</v>
      </c>
      <c r="H63" s="2" t="s">
        <v>179</v>
      </c>
      <c r="I63" s="11" t="s">
        <v>31</v>
      </c>
      <c r="J63" s="42">
        <v>0.25</v>
      </c>
      <c r="K63" s="43">
        <v>0.26</v>
      </c>
      <c r="L63" s="43">
        <v>0.26</v>
      </c>
      <c r="M63" s="43">
        <v>0.25</v>
      </c>
      <c r="N63" s="4"/>
      <c r="O63" s="5"/>
      <c r="P63" s="6"/>
      <c r="Q63" s="6"/>
      <c r="R63" s="6"/>
      <c r="S63" s="6"/>
      <c r="T63" s="6"/>
      <c r="U63" s="6"/>
    </row>
    <row r="64" spans="1:22" ht="15" customHeight="1" x14ac:dyDescent="0.3">
      <c r="A64" s="12" t="s">
        <v>21</v>
      </c>
      <c r="B64" s="4" t="s">
        <v>172</v>
      </c>
      <c r="C64" s="38" t="s">
        <v>172</v>
      </c>
      <c r="D64" s="4" t="s">
        <v>173</v>
      </c>
      <c r="E64" s="11" t="s">
        <v>144</v>
      </c>
      <c r="F64" s="11" t="s">
        <v>71</v>
      </c>
      <c r="G64" s="7" t="s">
        <v>180</v>
      </c>
      <c r="H64" s="2" t="s">
        <v>181</v>
      </c>
      <c r="I64" s="11" t="s">
        <v>31</v>
      </c>
      <c r="J64" s="42">
        <v>0.89</v>
      </c>
      <c r="K64" s="43">
        <v>0.9</v>
      </c>
      <c r="L64" s="43">
        <v>0.93</v>
      </c>
      <c r="M64" s="43">
        <v>0.96</v>
      </c>
      <c r="N64" s="4"/>
      <c r="O64" s="5"/>
      <c r="P64" s="6"/>
      <c r="Q64" s="6"/>
      <c r="R64" s="6"/>
      <c r="S64" s="6"/>
      <c r="T64" s="6"/>
      <c r="U64" s="6"/>
    </row>
    <row r="65" spans="1:22" ht="15" customHeight="1" x14ac:dyDescent="0.3">
      <c r="A65" s="12" t="s">
        <v>21</v>
      </c>
      <c r="B65" s="4" t="s">
        <v>172</v>
      </c>
      <c r="C65" s="38" t="s">
        <v>172</v>
      </c>
      <c r="D65" s="4" t="s">
        <v>173</v>
      </c>
      <c r="E65" s="11" t="s">
        <v>144</v>
      </c>
      <c r="F65" s="11" t="s">
        <v>71</v>
      </c>
      <c r="G65" s="7" t="s">
        <v>182</v>
      </c>
      <c r="H65" s="2" t="s">
        <v>183</v>
      </c>
      <c r="I65" s="11" t="s">
        <v>31</v>
      </c>
      <c r="J65" s="42">
        <v>0.11</v>
      </c>
      <c r="K65" s="43">
        <v>0.1</v>
      </c>
      <c r="L65" s="43">
        <v>7.0000000000000007E-2</v>
      </c>
      <c r="M65" s="43">
        <v>0.04</v>
      </c>
      <c r="N65" s="4"/>
      <c r="O65" s="5"/>
      <c r="P65" s="6"/>
      <c r="Q65" s="6"/>
      <c r="R65" s="6"/>
      <c r="S65" s="6"/>
      <c r="T65" s="6"/>
      <c r="U65" s="6"/>
    </row>
    <row r="66" spans="1:22" s="67" customFormat="1" ht="15" customHeight="1" x14ac:dyDescent="0.3">
      <c r="A66" s="70" t="s">
        <v>21</v>
      </c>
      <c r="B66" s="74" t="s">
        <v>141</v>
      </c>
      <c r="C66" s="71" t="s">
        <v>142</v>
      </c>
      <c r="D66" s="74" t="s">
        <v>184</v>
      </c>
      <c r="E66" s="61" t="s">
        <v>144</v>
      </c>
      <c r="F66" s="61" t="s">
        <v>71</v>
      </c>
      <c r="G66" s="62" t="s">
        <v>185</v>
      </c>
      <c r="H66" s="74" t="s">
        <v>186</v>
      </c>
      <c r="I66" s="61" t="s">
        <v>31</v>
      </c>
      <c r="J66" s="75">
        <v>3596</v>
      </c>
      <c r="K66" s="71">
        <v>3881</v>
      </c>
      <c r="L66" s="71">
        <v>3901</v>
      </c>
      <c r="M66" s="71">
        <v>4017</v>
      </c>
      <c r="N66" s="74"/>
      <c r="O66" s="72"/>
      <c r="P66" s="73"/>
      <c r="Q66" s="73"/>
      <c r="R66" s="73"/>
      <c r="S66" s="73"/>
      <c r="T66" s="73"/>
      <c r="U66" s="73"/>
      <c r="V66" s="66"/>
    </row>
    <row r="67" spans="1:22" ht="15" customHeight="1" x14ac:dyDescent="0.3">
      <c r="A67" s="12" t="s">
        <v>21</v>
      </c>
      <c r="B67" s="4" t="s">
        <v>141</v>
      </c>
      <c r="C67" s="38" t="s">
        <v>142</v>
      </c>
      <c r="D67" s="4" t="s">
        <v>184</v>
      </c>
      <c r="E67" s="11" t="s">
        <v>144</v>
      </c>
      <c r="F67" s="11" t="s">
        <v>71</v>
      </c>
      <c r="G67" s="7" t="s">
        <v>187</v>
      </c>
      <c r="H67" s="4" t="s">
        <v>188</v>
      </c>
      <c r="I67" s="11" t="s">
        <v>31</v>
      </c>
      <c r="J67" s="44">
        <v>2567</v>
      </c>
      <c r="K67" s="38">
        <v>2690</v>
      </c>
      <c r="L67" s="38">
        <v>2750</v>
      </c>
      <c r="M67" s="38">
        <v>2646</v>
      </c>
      <c r="N67" s="4"/>
      <c r="O67" s="5"/>
      <c r="P67" s="6"/>
      <c r="Q67" s="6"/>
      <c r="R67" s="6"/>
      <c r="S67" s="6"/>
      <c r="T67" s="6"/>
      <c r="U67" s="6"/>
    </row>
    <row r="68" spans="1:22" ht="15" customHeight="1" x14ac:dyDescent="0.3">
      <c r="A68" s="12" t="s">
        <v>21</v>
      </c>
      <c r="B68" s="4" t="s">
        <v>141</v>
      </c>
      <c r="C68" s="38" t="s">
        <v>142</v>
      </c>
      <c r="D68" s="4" t="s">
        <v>184</v>
      </c>
      <c r="E68" s="11" t="s">
        <v>144</v>
      </c>
      <c r="F68" s="11" t="s">
        <v>71</v>
      </c>
      <c r="G68" s="7" t="s">
        <v>189</v>
      </c>
      <c r="H68" s="4" t="s">
        <v>190</v>
      </c>
      <c r="I68" s="11" t="s">
        <v>31</v>
      </c>
      <c r="J68" s="44">
        <v>1029</v>
      </c>
      <c r="K68" s="38">
        <v>1191</v>
      </c>
      <c r="L68" s="38">
        <v>1151</v>
      </c>
      <c r="M68" s="38">
        <v>1371</v>
      </c>
      <c r="N68" s="4"/>
      <c r="O68" s="5"/>
      <c r="P68" s="6"/>
      <c r="Q68" s="6"/>
      <c r="R68" s="6"/>
      <c r="S68" s="6"/>
      <c r="T68" s="6"/>
      <c r="U68" s="6"/>
    </row>
    <row r="69" spans="1:22" ht="15" customHeight="1" x14ac:dyDescent="0.3">
      <c r="A69" s="12" t="s">
        <v>21</v>
      </c>
      <c r="B69" s="4" t="s">
        <v>141</v>
      </c>
      <c r="C69" s="38" t="s">
        <v>142</v>
      </c>
      <c r="D69" s="4" t="s">
        <v>184</v>
      </c>
      <c r="E69" s="11" t="s">
        <v>108</v>
      </c>
      <c r="F69" s="11" t="s">
        <v>71</v>
      </c>
      <c r="G69" s="7" t="s">
        <v>191</v>
      </c>
      <c r="H69" s="4" t="s">
        <v>192</v>
      </c>
      <c r="I69" s="11" t="s">
        <v>31</v>
      </c>
      <c r="J69" s="44">
        <v>419</v>
      </c>
      <c r="K69" s="38">
        <v>486</v>
      </c>
      <c r="L69" s="38">
        <v>483</v>
      </c>
      <c r="M69" s="38">
        <v>522</v>
      </c>
      <c r="N69" s="4"/>
      <c r="O69" s="5"/>
      <c r="P69" s="6"/>
      <c r="Q69" s="6"/>
      <c r="R69" s="6"/>
      <c r="S69" s="6"/>
      <c r="T69" s="6"/>
      <c r="U69" s="6"/>
    </row>
    <row r="70" spans="1:22" ht="15" customHeight="1" x14ac:dyDescent="0.3">
      <c r="A70" s="12" t="s">
        <v>21</v>
      </c>
      <c r="B70" s="4" t="s">
        <v>141</v>
      </c>
      <c r="C70" s="38" t="s">
        <v>142</v>
      </c>
      <c r="D70" s="4" t="s">
        <v>184</v>
      </c>
      <c r="E70" s="11" t="s">
        <v>98</v>
      </c>
      <c r="F70" s="11" t="s">
        <v>71</v>
      </c>
      <c r="G70" s="7" t="s">
        <v>193</v>
      </c>
      <c r="H70" s="4" t="s">
        <v>194</v>
      </c>
      <c r="I70" s="11" t="s">
        <v>31</v>
      </c>
      <c r="J70" s="44">
        <v>528</v>
      </c>
      <c r="K70" s="38">
        <v>527</v>
      </c>
      <c r="L70" s="38">
        <v>546</v>
      </c>
      <c r="M70" s="38">
        <v>553</v>
      </c>
      <c r="N70" s="4"/>
      <c r="O70" s="5"/>
      <c r="P70" s="6"/>
      <c r="Q70" s="6"/>
      <c r="R70" s="6"/>
      <c r="S70" s="6"/>
      <c r="T70" s="6"/>
      <c r="U70" s="6"/>
    </row>
    <row r="71" spans="1:22" ht="15" customHeight="1" x14ac:dyDescent="0.3">
      <c r="A71" s="12" t="s">
        <v>21</v>
      </c>
      <c r="B71" s="4" t="s">
        <v>141</v>
      </c>
      <c r="C71" s="38" t="s">
        <v>142</v>
      </c>
      <c r="D71" s="4" t="s">
        <v>184</v>
      </c>
      <c r="E71" s="11" t="s">
        <v>59</v>
      </c>
      <c r="F71" s="11" t="s">
        <v>71</v>
      </c>
      <c r="G71" s="7" t="s">
        <v>195</v>
      </c>
      <c r="H71" s="4" t="s">
        <v>196</v>
      </c>
      <c r="I71" s="11" t="s">
        <v>31</v>
      </c>
      <c r="J71" s="33">
        <v>747</v>
      </c>
      <c r="K71" s="11">
        <v>779</v>
      </c>
      <c r="L71" s="11">
        <v>796</v>
      </c>
      <c r="M71" s="38">
        <v>714</v>
      </c>
      <c r="N71" s="4"/>
      <c r="O71" s="5"/>
      <c r="P71" s="6"/>
      <c r="Q71" s="6"/>
      <c r="R71" s="6"/>
      <c r="S71" s="6"/>
      <c r="T71" s="6"/>
      <c r="U71" s="6"/>
    </row>
    <row r="72" spans="1:22" ht="15" customHeight="1" x14ac:dyDescent="0.3">
      <c r="A72" s="12" t="s">
        <v>21</v>
      </c>
      <c r="B72" s="4" t="s">
        <v>141</v>
      </c>
      <c r="C72" s="38" t="s">
        <v>142</v>
      </c>
      <c r="D72" s="4" t="s">
        <v>184</v>
      </c>
      <c r="E72" s="11" t="s">
        <v>54</v>
      </c>
      <c r="F72" s="11" t="s">
        <v>71</v>
      </c>
      <c r="G72" s="7" t="s">
        <v>197</v>
      </c>
      <c r="H72" s="4" t="s">
        <v>198</v>
      </c>
      <c r="I72" s="11" t="s">
        <v>31</v>
      </c>
      <c r="J72" s="33">
        <v>1902</v>
      </c>
      <c r="K72" s="11">
        <v>2089</v>
      </c>
      <c r="L72" s="11">
        <v>2076</v>
      </c>
      <c r="M72" s="38">
        <v>2227</v>
      </c>
      <c r="N72" s="4"/>
      <c r="O72" s="5"/>
      <c r="P72" s="6"/>
      <c r="Q72" s="6"/>
      <c r="R72" s="6"/>
      <c r="S72" s="6"/>
      <c r="T72" s="6"/>
      <c r="U72" s="6"/>
    </row>
    <row r="73" spans="1:22" ht="15" customHeight="1" x14ac:dyDescent="0.3">
      <c r="A73" s="12" t="s">
        <v>21</v>
      </c>
      <c r="B73" s="4"/>
      <c r="C73" s="38"/>
      <c r="D73" s="4" t="s">
        <v>184</v>
      </c>
      <c r="E73" s="11"/>
      <c r="F73" s="11"/>
      <c r="G73" s="7" t="s">
        <v>199</v>
      </c>
      <c r="H73" s="4"/>
      <c r="I73" s="11" t="s">
        <v>31</v>
      </c>
      <c r="J73" s="33">
        <v>439</v>
      </c>
      <c r="K73" s="11">
        <v>469</v>
      </c>
      <c r="L73" s="11">
        <v>472</v>
      </c>
      <c r="M73" s="38">
        <v>454</v>
      </c>
      <c r="N73" s="4"/>
      <c r="O73" s="5"/>
      <c r="P73" s="6"/>
      <c r="Q73" s="6"/>
      <c r="R73" s="6"/>
      <c r="S73" s="6"/>
      <c r="T73" s="6"/>
      <c r="U73" s="6"/>
    </row>
    <row r="74" spans="1:22" ht="15" customHeight="1" x14ac:dyDescent="0.3">
      <c r="A74" s="12" t="s">
        <v>21</v>
      </c>
      <c r="B74" s="4"/>
      <c r="C74" s="38"/>
      <c r="D74" s="4" t="s">
        <v>184</v>
      </c>
      <c r="E74" s="11"/>
      <c r="F74" s="11"/>
      <c r="G74" s="7" t="s">
        <v>200</v>
      </c>
      <c r="H74" s="4"/>
      <c r="I74" s="11" t="s">
        <v>31</v>
      </c>
      <c r="J74" s="33">
        <v>434</v>
      </c>
      <c r="K74" s="11">
        <v>464</v>
      </c>
      <c r="L74" s="11">
        <v>466</v>
      </c>
      <c r="M74" s="38">
        <v>465</v>
      </c>
      <c r="N74" s="4"/>
      <c r="O74" s="5"/>
      <c r="P74" s="6"/>
      <c r="Q74" s="6"/>
      <c r="R74" s="6"/>
      <c r="S74" s="6"/>
      <c r="T74" s="6"/>
      <c r="U74" s="6"/>
    </row>
    <row r="75" spans="1:22" ht="15" customHeight="1" x14ac:dyDescent="0.3">
      <c r="A75" s="12" t="s">
        <v>21</v>
      </c>
      <c r="B75" s="4"/>
      <c r="C75" s="38"/>
      <c r="D75" s="4" t="s">
        <v>184</v>
      </c>
      <c r="E75" s="11"/>
      <c r="F75" s="11"/>
      <c r="G75" s="7" t="s">
        <v>201</v>
      </c>
      <c r="H75" s="4"/>
      <c r="I75" s="11" t="s">
        <v>31</v>
      </c>
      <c r="J75" s="33">
        <v>831</v>
      </c>
      <c r="K75" s="11">
        <v>880</v>
      </c>
      <c r="L75" s="11">
        <v>899</v>
      </c>
      <c r="M75" s="38">
        <v>1068</v>
      </c>
      <c r="N75" s="4"/>
      <c r="O75" s="5"/>
      <c r="P75" s="6"/>
      <c r="Q75" s="6"/>
      <c r="R75" s="6"/>
      <c r="S75" s="6"/>
      <c r="T75" s="6"/>
      <c r="U75" s="6"/>
    </row>
    <row r="76" spans="1:22" ht="15" customHeight="1" x14ac:dyDescent="0.3">
      <c r="A76" s="12" t="s">
        <v>21</v>
      </c>
      <c r="B76" s="4"/>
      <c r="C76" s="38"/>
      <c r="D76" s="4" t="s">
        <v>184</v>
      </c>
      <c r="E76" s="11"/>
      <c r="F76" s="11"/>
      <c r="G76" s="7" t="s">
        <v>202</v>
      </c>
      <c r="H76" s="4"/>
      <c r="I76" s="11" t="s">
        <v>31</v>
      </c>
      <c r="J76" s="33">
        <v>206</v>
      </c>
      <c r="K76" s="11">
        <v>325</v>
      </c>
      <c r="L76" s="11">
        <v>262</v>
      </c>
      <c r="M76" s="38">
        <v>394</v>
      </c>
      <c r="N76" s="4"/>
      <c r="O76" s="5"/>
      <c r="P76" s="6"/>
      <c r="Q76" s="6"/>
      <c r="R76" s="6"/>
      <c r="S76" s="6"/>
      <c r="T76" s="6"/>
      <c r="U76" s="6"/>
    </row>
    <row r="77" spans="1:22" ht="15" customHeight="1" x14ac:dyDescent="0.3">
      <c r="A77" s="12" t="s">
        <v>21</v>
      </c>
      <c r="B77" s="4"/>
      <c r="C77" s="38"/>
      <c r="D77" s="4" t="s">
        <v>184</v>
      </c>
      <c r="E77" s="11"/>
      <c r="F77" s="11"/>
      <c r="G77" s="7" t="s">
        <v>203</v>
      </c>
      <c r="H77" s="4"/>
      <c r="I77" s="11" t="s">
        <v>31</v>
      </c>
      <c r="J77" s="33">
        <v>468</v>
      </c>
      <c r="K77" s="11">
        <v>477</v>
      </c>
      <c r="L77" s="11">
        <v>474</v>
      </c>
      <c r="M77" s="38">
        <v>436</v>
      </c>
      <c r="N77" s="4"/>
      <c r="O77" s="5"/>
      <c r="P77" s="6"/>
      <c r="Q77" s="6"/>
      <c r="R77" s="6"/>
      <c r="S77" s="6"/>
      <c r="T77" s="6"/>
      <c r="U77" s="6"/>
    </row>
    <row r="78" spans="1:22" ht="15" customHeight="1" x14ac:dyDescent="0.3">
      <c r="A78" s="12" t="s">
        <v>21</v>
      </c>
      <c r="B78" s="4"/>
      <c r="C78" s="38"/>
      <c r="D78" s="4" t="s">
        <v>184</v>
      </c>
      <c r="E78" s="11"/>
      <c r="F78" s="11"/>
      <c r="G78" s="7" t="s">
        <v>204</v>
      </c>
      <c r="H78" s="4"/>
      <c r="I78" s="11" t="s">
        <v>31</v>
      </c>
      <c r="J78" s="33">
        <v>593</v>
      </c>
      <c r="K78" s="11">
        <v>642</v>
      </c>
      <c r="L78" s="11">
        <v>672</v>
      </c>
      <c r="M78" s="38">
        <v>524</v>
      </c>
      <c r="N78" s="4"/>
      <c r="O78" s="5"/>
      <c r="P78" s="6"/>
      <c r="Q78" s="6"/>
      <c r="R78" s="6"/>
      <c r="S78" s="6"/>
      <c r="T78" s="6"/>
      <c r="U78" s="6"/>
    </row>
    <row r="79" spans="1:22" ht="15" customHeight="1" x14ac:dyDescent="0.3">
      <c r="A79" s="12" t="s">
        <v>21</v>
      </c>
      <c r="B79" s="4"/>
      <c r="C79" s="38"/>
      <c r="D79" s="4" t="s">
        <v>184</v>
      </c>
      <c r="E79" s="11"/>
      <c r="F79" s="11"/>
      <c r="G79" s="7" t="s">
        <v>205</v>
      </c>
      <c r="H79" s="4"/>
      <c r="I79" s="11" t="s">
        <v>31</v>
      </c>
      <c r="J79" s="33">
        <v>302</v>
      </c>
      <c r="K79" s="11">
        <v>294</v>
      </c>
      <c r="L79" s="11">
        <v>311</v>
      </c>
      <c r="M79" s="38">
        <v>332</v>
      </c>
      <c r="N79" s="4"/>
      <c r="O79" s="5"/>
      <c r="P79" s="6"/>
      <c r="Q79" s="6"/>
      <c r="R79" s="6"/>
      <c r="S79" s="6"/>
      <c r="T79" s="6"/>
      <c r="U79" s="6"/>
    </row>
    <row r="80" spans="1:22" ht="15" customHeight="1" x14ac:dyDescent="0.3">
      <c r="A80" s="12" t="s">
        <v>21</v>
      </c>
      <c r="B80" s="4"/>
      <c r="C80" s="38"/>
      <c r="D80" s="4" t="s">
        <v>184</v>
      </c>
      <c r="E80" s="11"/>
      <c r="F80" s="11"/>
      <c r="G80" s="7" t="s">
        <v>206</v>
      </c>
      <c r="H80" s="4"/>
      <c r="I80" s="11" t="s">
        <v>31</v>
      </c>
      <c r="J80" s="33">
        <v>323</v>
      </c>
      <c r="K80" s="11">
        <v>330</v>
      </c>
      <c r="L80" s="11">
        <v>345</v>
      </c>
      <c r="M80" s="38">
        <v>344</v>
      </c>
      <c r="N80" s="4"/>
      <c r="O80" s="5"/>
      <c r="P80" s="6"/>
      <c r="Q80" s="6"/>
      <c r="R80" s="6"/>
      <c r="S80" s="6"/>
      <c r="T80" s="6"/>
      <c r="U80" s="6"/>
    </row>
    <row r="81" spans="1:22" s="67" customFormat="1" ht="15" customHeight="1" x14ac:dyDescent="0.3">
      <c r="A81" s="70" t="s">
        <v>21</v>
      </c>
      <c r="B81" s="74" t="s">
        <v>172</v>
      </c>
      <c r="C81" s="71" t="s">
        <v>172</v>
      </c>
      <c r="D81" s="74" t="s">
        <v>207</v>
      </c>
      <c r="E81" s="61" t="s">
        <v>144</v>
      </c>
      <c r="F81" s="61" t="s">
        <v>71</v>
      </c>
      <c r="G81" s="62" t="s">
        <v>208</v>
      </c>
      <c r="H81" s="74" t="s">
        <v>209</v>
      </c>
      <c r="I81" s="61" t="s">
        <v>31</v>
      </c>
      <c r="J81" s="75">
        <v>6949</v>
      </c>
      <c r="K81" s="71">
        <v>7413</v>
      </c>
      <c r="L81" s="71">
        <v>8101</v>
      </c>
      <c r="M81" s="71">
        <v>8615</v>
      </c>
      <c r="N81" s="74"/>
      <c r="O81" s="72"/>
      <c r="P81" s="73"/>
      <c r="Q81" s="73"/>
      <c r="R81" s="73"/>
      <c r="S81" s="73"/>
      <c r="T81" s="73"/>
      <c r="U81" s="73"/>
      <c r="V81" s="66"/>
    </row>
    <row r="82" spans="1:22" ht="15" customHeight="1" x14ac:dyDescent="0.3">
      <c r="A82" s="12" t="s">
        <v>21</v>
      </c>
      <c r="B82" s="4" t="s">
        <v>172</v>
      </c>
      <c r="C82" s="38" t="s">
        <v>172</v>
      </c>
      <c r="D82" s="4" t="s">
        <v>207</v>
      </c>
      <c r="E82" s="11" t="s">
        <v>144</v>
      </c>
      <c r="F82" s="11" t="s">
        <v>71</v>
      </c>
      <c r="G82" s="7" t="s">
        <v>210</v>
      </c>
      <c r="H82" s="2" t="s">
        <v>211</v>
      </c>
      <c r="I82" s="11" t="s">
        <v>31</v>
      </c>
      <c r="J82" s="44">
        <v>5768</v>
      </c>
      <c r="K82" s="38">
        <v>5978</v>
      </c>
      <c r="L82" s="38">
        <v>6383</v>
      </c>
      <c r="M82" s="38">
        <v>6640</v>
      </c>
      <c r="N82" s="4"/>
      <c r="O82" s="5"/>
      <c r="P82" s="6"/>
      <c r="Q82" s="6"/>
      <c r="R82" s="6"/>
      <c r="S82" s="6"/>
      <c r="T82" s="6"/>
      <c r="U82" s="6"/>
    </row>
    <row r="83" spans="1:22" ht="15" customHeight="1" x14ac:dyDescent="0.3">
      <c r="A83" s="12" t="s">
        <v>21</v>
      </c>
      <c r="B83" s="4" t="s">
        <v>172</v>
      </c>
      <c r="C83" s="38" t="s">
        <v>172</v>
      </c>
      <c r="D83" s="4" t="s">
        <v>207</v>
      </c>
      <c r="E83" s="11" t="s">
        <v>144</v>
      </c>
      <c r="F83" s="11" t="s">
        <v>71</v>
      </c>
      <c r="G83" s="7" t="s">
        <v>212</v>
      </c>
      <c r="H83" s="2" t="s">
        <v>213</v>
      </c>
      <c r="I83" s="11" t="s">
        <v>31</v>
      </c>
      <c r="J83" s="44">
        <v>319</v>
      </c>
      <c r="K83" s="38">
        <v>348</v>
      </c>
      <c r="L83" s="38">
        <v>406</v>
      </c>
      <c r="M83" s="38">
        <v>496</v>
      </c>
      <c r="N83" s="4"/>
      <c r="O83" s="5"/>
      <c r="P83" s="6"/>
      <c r="Q83" s="6"/>
      <c r="R83" s="6"/>
      <c r="S83" s="6"/>
      <c r="T83" s="6"/>
      <c r="U83" s="6"/>
    </row>
    <row r="84" spans="1:22" ht="15" customHeight="1" x14ac:dyDescent="0.3">
      <c r="A84" s="12" t="s">
        <v>21</v>
      </c>
      <c r="B84" s="4" t="s">
        <v>172</v>
      </c>
      <c r="C84" s="38" t="s">
        <v>172</v>
      </c>
      <c r="D84" s="4" t="s">
        <v>207</v>
      </c>
      <c r="E84" s="11" t="s">
        <v>144</v>
      </c>
      <c r="F84" s="11" t="s">
        <v>71</v>
      </c>
      <c r="G84" s="7" t="s">
        <v>214</v>
      </c>
      <c r="H84" s="2" t="s">
        <v>215</v>
      </c>
      <c r="I84" s="11" t="s">
        <v>31</v>
      </c>
      <c r="J84" s="44">
        <v>862</v>
      </c>
      <c r="K84" s="38">
        <v>1087</v>
      </c>
      <c r="L84" s="38">
        <v>1312</v>
      </c>
      <c r="M84" s="38">
        <v>1479</v>
      </c>
      <c r="N84" s="4"/>
      <c r="O84" s="5"/>
      <c r="P84" s="6"/>
      <c r="Q84" s="6"/>
      <c r="R84" s="6"/>
      <c r="S84" s="6"/>
      <c r="T84" s="6"/>
      <c r="U84" s="6"/>
    </row>
    <row r="85" spans="1:22" s="67" customFormat="1" ht="15" customHeight="1" x14ac:dyDescent="0.3">
      <c r="A85" s="70" t="s">
        <v>21</v>
      </c>
      <c r="B85" s="74" t="s">
        <v>141</v>
      </c>
      <c r="C85" s="71" t="s">
        <v>142</v>
      </c>
      <c r="D85" s="74" t="s">
        <v>216</v>
      </c>
      <c r="E85" s="61" t="s">
        <v>144</v>
      </c>
      <c r="F85" s="61" t="s">
        <v>55</v>
      </c>
      <c r="G85" s="62" t="s">
        <v>217</v>
      </c>
      <c r="H85" s="62" t="s">
        <v>218</v>
      </c>
      <c r="I85" s="61" t="s">
        <v>31</v>
      </c>
      <c r="J85" s="77">
        <v>0.54</v>
      </c>
      <c r="K85" s="78">
        <v>0.65</v>
      </c>
      <c r="L85" s="78">
        <v>0.65</v>
      </c>
      <c r="M85" s="78">
        <v>0.72</v>
      </c>
      <c r="N85" s="62"/>
      <c r="O85" s="72"/>
      <c r="P85" s="73"/>
      <c r="Q85" s="73"/>
      <c r="R85" s="73"/>
      <c r="S85" s="64">
        <v>0.8</v>
      </c>
      <c r="T85" s="64">
        <v>0.8</v>
      </c>
      <c r="U85" s="64">
        <v>0.8</v>
      </c>
      <c r="V85" s="66"/>
    </row>
    <row r="86" spans="1:22" ht="15" customHeight="1" x14ac:dyDescent="0.3">
      <c r="A86" s="12" t="s">
        <v>21</v>
      </c>
      <c r="B86" s="4" t="s">
        <v>141</v>
      </c>
      <c r="C86" s="38" t="s">
        <v>142</v>
      </c>
      <c r="D86" s="4" t="s">
        <v>216</v>
      </c>
      <c r="E86" s="11" t="s">
        <v>144</v>
      </c>
      <c r="F86" s="11" t="s">
        <v>55</v>
      </c>
      <c r="G86" s="7" t="s">
        <v>219</v>
      </c>
      <c r="H86" s="7" t="s">
        <v>220</v>
      </c>
      <c r="I86" s="11" t="s">
        <v>31</v>
      </c>
      <c r="J86" s="42">
        <v>0.01</v>
      </c>
      <c r="K86" s="43">
        <v>0.02</v>
      </c>
      <c r="L86" s="43">
        <v>0.01</v>
      </c>
      <c r="M86" s="43">
        <v>0.01</v>
      </c>
      <c r="N86" s="7"/>
      <c r="O86" s="5"/>
      <c r="P86" s="6"/>
      <c r="Q86" s="6"/>
      <c r="R86" s="6"/>
      <c r="S86" s="32">
        <v>0.04</v>
      </c>
      <c r="T86" s="32">
        <v>0.05</v>
      </c>
      <c r="U86" s="32">
        <v>0.05</v>
      </c>
    </row>
    <row r="87" spans="1:22" ht="15" customHeight="1" x14ac:dyDescent="0.3">
      <c r="A87" s="12" t="s">
        <v>21</v>
      </c>
      <c r="B87" s="4" t="s">
        <v>141</v>
      </c>
      <c r="C87" s="38" t="s">
        <v>142</v>
      </c>
      <c r="D87" s="4" t="s">
        <v>216</v>
      </c>
      <c r="E87" s="11" t="s">
        <v>144</v>
      </c>
      <c r="F87" s="11" t="s">
        <v>55</v>
      </c>
      <c r="G87" s="7" t="s">
        <v>221</v>
      </c>
      <c r="H87" s="7" t="s">
        <v>222</v>
      </c>
      <c r="I87" s="11" t="s">
        <v>31</v>
      </c>
      <c r="J87" s="42">
        <v>0.1</v>
      </c>
      <c r="K87" s="43">
        <v>0.08</v>
      </c>
      <c r="L87" s="43">
        <v>0.11</v>
      </c>
      <c r="M87" s="43">
        <v>0.12</v>
      </c>
      <c r="N87" s="7"/>
      <c r="O87" s="5"/>
      <c r="P87" s="6"/>
      <c r="Q87" s="6"/>
      <c r="R87" s="6"/>
      <c r="S87" s="32">
        <v>0.05</v>
      </c>
      <c r="T87" s="32">
        <v>0.05</v>
      </c>
      <c r="U87" s="32">
        <v>7.0000000000000007E-2</v>
      </c>
    </row>
    <row r="88" spans="1:22" ht="15" customHeight="1" x14ac:dyDescent="0.3">
      <c r="A88" s="12" t="s">
        <v>21</v>
      </c>
      <c r="B88" s="4" t="s">
        <v>141</v>
      </c>
      <c r="C88" s="38" t="s">
        <v>142</v>
      </c>
      <c r="D88" s="4" t="s">
        <v>216</v>
      </c>
      <c r="E88" s="11" t="s">
        <v>144</v>
      </c>
      <c r="F88" s="11" t="s">
        <v>55</v>
      </c>
      <c r="G88" s="7" t="s">
        <v>223</v>
      </c>
      <c r="H88" s="7" t="s">
        <v>224</v>
      </c>
      <c r="I88" s="11" t="s">
        <v>31</v>
      </c>
      <c r="J88" s="42">
        <v>0.35</v>
      </c>
      <c r="K88" s="43">
        <v>0.25</v>
      </c>
      <c r="L88" s="43">
        <v>0.22</v>
      </c>
      <c r="M88" s="43">
        <v>0.15</v>
      </c>
      <c r="N88" s="7"/>
      <c r="O88" s="5"/>
      <c r="P88" s="6"/>
      <c r="Q88" s="6"/>
      <c r="R88" s="6"/>
      <c r="S88" s="32">
        <v>0.11</v>
      </c>
      <c r="T88" s="32">
        <v>0.1</v>
      </c>
      <c r="U88" s="32">
        <v>0.08</v>
      </c>
    </row>
    <row r="89" spans="1:22" ht="15" customHeight="1" x14ac:dyDescent="0.3">
      <c r="A89" s="12" t="s">
        <v>21</v>
      </c>
      <c r="B89" s="4" t="s">
        <v>141</v>
      </c>
      <c r="C89" s="38" t="s">
        <v>142</v>
      </c>
      <c r="D89" s="4" t="s">
        <v>216</v>
      </c>
      <c r="E89" s="11" t="s">
        <v>144</v>
      </c>
      <c r="F89" s="11" t="s">
        <v>55</v>
      </c>
      <c r="G89" s="7" t="s">
        <v>168</v>
      </c>
      <c r="H89" s="4" t="s">
        <v>169</v>
      </c>
      <c r="I89" s="11" t="s">
        <v>31</v>
      </c>
      <c r="J89" s="42">
        <v>0.68</v>
      </c>
      <c r="K89" s="43">
        <v>0.74</v>
      </c>
      <c r="L89" s="43">
        <v>0.75</v>
      </c>
      <c r="M89" s="43">
        <v>0.84</v>
      </c>
      <c r="N89" s="4"/>
      <c r="O89" s="5"/>
      <c r="P89" s="6"/>
      <c r="Q89" s="6"/>
      <c r="R89" s="6"/>
      <c r="S89" s="6"/>
      <c r="T89" s="6"/>
      <c r="U89" s="6"/>
    </row>
    <row r="90" spans="1:22" ht="15" customHeight="1" x14ac:dyDescent="0.3">
      <c r="A90" s="12" t="s">
        <v>21</v>
      </c>
      <c r="B90" s="4" t="s">
        <v>141</v>
      </c>
      <c r="C90" s="38" t="s">
        <v>142</v>
      </c>
      <c r="D90" s="4" t="s">
        <v>216</v>
      </c>
      <c r="E90" s="11" t="s">
        <v>144</v>
      </c>
      <c r="F90" s="11" t="s">
        <v>55</v>
      </c>
      <c r="G90" s="7" t="s">
        <v>170</v>
      </c>
      <c r="H90" s="4" t="s">
        <v>171</v>
      </c>
      <c r="I90" s="11" t="s">
        <v>31</v>
      </c>
      <c r="J90" s="42">
        <v>0.45</v>
      </c>
      <c r="K90" s="43">
        <v>0.57999999999999996</v>
      </c>
      <c r="L90" s="43">
        <v>0.6</v>
      </c>
      <c r="M90" s="43">
        <v>0.65</v>
      </c>
      <c r="N90" s="4"/>
      <c r="O90" s="5"/>
      <c r="P90" s="6"/>
      <c r="Q90" s="6"/>
      <c r="R90" s="6"/>
      <c r="S90" s="6"/>
      <c r="T90" s="6"/>
      <c r="U90" s="6"/>
    </row>
    <row r="91" spans="1:22" s="59" customFormat="1" ht="15" hidden="1" customHeight="1" x14ac:dyDescent="0.3">
      <c r="A91" s="79"/>
      <c r="B91" s="49"/>
      <c r="C91" s="50"/>
      <c r="D91" s="49"/>
      <c r="E91" s="51"/>
      <c r="F91" s="51"/>
      <c r="G91" s="52"/>
      <c r="H91" s="52"/>
      <c r="I91" s="51"/>
      <c r="J91" s="53"/>
      <c r="K91" s="54"/>
      <c r="L91" s="54"/>
      <c r="M91" s="54"/>
      <c r="N91" s="52"/>
      <c r="O91" s="55"/>
      <c r="P91" s="56"/>
      <c r="Q91" s="56"/>
      <c r="R91" s="56"/>
      <c r="S91" s="57"/>
      <c r="T91" s="57"/>
      <c r="U91" s="57"/>
      <c r="V91" s="58"/>
    </row>
    <row r="92" spans="1:22" ht="15" hidden="1" customHeight="1" x14ac:dyDescent="0.3">
      <c r="A92" s="12" t="s">
        <v>225</v>
      </c>
      <c r="B92" s="10" t="s">
        <v>226</v>
      </c>
      <c r="C92" s="11" t="s">
        <v>36</v>
      </c>
      <c r="D92" s="10" t="s">
        <v>227</v>
      </c>
      <c r="E92" s="11" t="s">
        <v>54</v>
      </c>
      <c r="F92" s="11" t="s">
        <v>55</v>
      </c>
      <c r="G92" s="10" t="s">
        <v>228</v>
      </c>
      <c r="H92" s="10" t="s">
        <v>229</v>
      </c>
      <c r="I92" s="11" t="s">
        <v>31</v>
      </c>
      <c r="J92" s="33" t="s">
        <v>230</v>
      </c>
      <c r="K92" s="11" t="s">
        <v>231</v>
      </c>
      <c r="L92" s="11" t="s">
        <v>232</v>
      </c>
      <c r="M92" s="11" t="s">
        <v>233</v>
      </c>
      <c r="N92" s="11" t="s">
        <v>233</v>
      </c>
      <c r="O92" s="33" t="s">
        <v>234</v>
      </c>
      <c r="P92" s="11" t="s">
        <v>234</v>
      </c>
      <c r="Q92" s="11" t="s">
        <v>234</v>
      </c>
      <c r="R92" s="11" t="s">
        <v>234</v>
      </c>
      <c r="S92" s="11" t="s">
        <v>233</v>
      </c>
      <c r="T92" s="11" t="s">
        <v>233</v>
      </c>
      <c r="U92" s="11" t="s">
        <v>233</v>
      </c>
    </row>
    <row r="93" spans="1:22" ht="15" hidden="1" customHeight="1" x14ac:dyDescent="0.3">
      <c r="A93" s="12" t="s">
        <v>225</v>
      </c>
      <c r="B93" s="10" t="s">
        <v>226</v>
      </c>
      <c r="C93" s="11" t="s">
        <v>36</v>
      </c>
      <c r="D93" s="10" t="s">
        <v>227</v>
      </c>
      <c r="E93" s="11" t="s">
        <v>54</v>
      </c>
      <c r="F93" s="11" t="s">
        <v>55</v>
      </c>
      <c r="G93" s="10" t="s">
        <v>235</v>
      </c>
      <c r="H93" s="10" t="s">
        <v>236</v>
      </c>
      <c r="I93" s="11" t="s">
        <v>31</v>
      </c>
      <c r="J93" s="33" t="s">
        <v>237</v>
      </c>
      <c r="K93" s="11" t="s">
        <v>238</v>
      </c>
      <c r="L93" s="11" t="s">
        <v>239</v>
      </c>
      <c r="M93" s="11" t="s">
        <v>240</v>
      </c>
      <c r="N93" s="11" t="s">
        <v>241</v>
      </c>
      <c r="O93" s="33"/>
      <c r="P93" s="11"/>
      <c r="Q93" s="11"/>
      <c r="R93" s="11"/>
      <c r="S93" s="11" t="s">
        <v>240</v>
      </c>
      <c r="T93" s="11" t="s">
        <v>241</v>
      </c>
      <c r="U93" s="11" t="s">
        <v>242</v>
      </c>
    </row>
    <row r="94" spans="1:22" ht="15" hidden="1" customHeight="1" x14ac:dyDescent="0.3">
      <c r="A94" s="12" t="s">
        <v>225</v>
      </c>
      <c r="B94" s="10" t="s">
        <v>226</v>
      </c>
      <c r="C94" s="11" t="s">
        <v>36</v>
      </c>
      <c r="D94" s="10" t="s">
        <v>227</v>
      </c>
      <c r="E94" s="11" t="s">
        <v>54</v>
      </c>
      <c r="F94" s="11" t="s">
        <v>55</v>
      </c>
      <c r="G94" s="10" t="s">
        <v>243</v>
      </c>
      <c r="H94" s="10" t="s">
        <v>244</v>
      </c>
      <c r="I94" s="11" t="s">
        <v>31</v>
      </c>
      <c r="J94" s="33" t="s">
        <v>84</v>
      </c>
      <c r="K94" s="11" t="s">
        <v>84</v>
      </c>
      <c r="L94" s="11" t="s">
        <v>245</v>
      </c>
      <c r="M94" s="11" t="s">
        <v>246</v>
      </c>
      <c r="N94" s="11" t="s">
        <v>246</v>
      </c>
      <c r="O94" s="33"/>
      <c r="P94" s="11"/>
      <c r="Q94" s="11"/>
      <c r="R94" s="11"/>
      <c r="S94" s="11" t="s">
        <v>246</v>
      </c>
      <c r="T94" s="11" t="s">
        <v>246</v>
      </c>
      <c r="U94" s="11" t="s">
        <v>246</v>
      </c>
    </row>
    <row r="95" spans="1:22" ht="15" hidden="1" customHeight="1" x14ac:dyDescent="0.3">
      <c r="A95" s="12" t="s">
        <v>225</v>
      </c>
      <c r="B95" s="10" t="s">
        <v>226</v>
      </c>
      <c r="C95" s="11" t="s">
        <v>36</v>
      </c>
      <c r="D95" s="10" t="s">
        <v>227</v>
      </c>
      <c r="E95" s="11" t="s">
        <v>54</v>
      </c>
      <c r="F95" s="11" t="s">
        <v>55</v>
      </c>
      <c r="G95" s="10" t="s">
        <v>247</v>
      </c>
      <c r="H95" s="10" t="s">
        <v>247</v>
      </c>
      <c r="I95" s="11" t="s">
        <v>31</v>
      </c>
      <c r="J95" s="33" t="s">
        <v>248</v>
      </c>
      <c r="K95" s="11" t="s">
        <v>249</v>
      </c>
      <c r="L95" s="11" t="s">
        <v>240</v>
      </c>
      <c r="M95" s="11" t="s">
        <v>250</v>
      </c>
      <c r="N95" s="11" t="s">
        <v>251</v>
      </c>
      <c r="O95" s="33" t="s">
        <v>234</v>
      </c>
      <c r="P95" s="11" t="s">
        <v>234</v>
      </c>
      <c r="Q95" s="11" t="s">
        <v>234</v>
      </c>
      <c r="R95" s="11" t="s">
        <v>234</v>
      </c>
      <c r="S95" s="11" t="s">
        <v>252</v>
      </c>
      <c r="T95" s="11" t="s">
        <v>252</v>
      </c>
      <c r="U95" s="11" t="s">
        <v>252</v>
      </c>
    </row>
    <row r="96" spans="1:22" ht="15" hidden="1" customHeight="1" x14ac:dyDescent="0.3">
      <c r="A96" s="12" t="s">
        <v>225</v>
      </c>
      <c r="B96" s="10" t="s">
        <v>226</v>
      </c>
      <c r="C96" s="11" t="s">
        <v>36</v>
      </c>
      <c r="D96" s="10" t="s">
        <v>253</v>
      </c>
      <c r="E96" s="11" t="s">
        <v>54</v>
      </c>
      <c r="F96" s="11" t="s">
        <v>55</v>
      </c>
      <c r="G96" s="10" t="s">
        <v>254</v>
      </c>
      <c r="H96" s="10" t="s">
        <v>255</v>
      </c>
      <c r="I96" s="11" t="s">
        <v>31</v>
      </c>
      <c r="J96" s="33"/>
      <c r="K96" s="11"/>
      <c r="L96" s="11"/>
      <c r="M96" s="11"/>
      <c r="N96" s="11" t="s">
        <v>256</v>
      </c>
      <c r="O96" s="33"/>
      <c r="P96" s="11"/>
      <c r="Q96" s="11"/>
      <c r="R96" s="11"/>
      <c r="S96" s="11" t="s">
        <v>257</v>
      </c>
      <c r="T96" s="11" t="s">
        <v>258</v>
      </c>
      <c r="U96" s="11" t="s">
        <v>257</v>
      </c>
    </row>
    <row r="97" spans="1:21" ht="15" hidden="1" customHeight="1" x14ac:dyDescent="0.3">
      <c r="A97" s="12" t="s">
        <v>225</v>
      </c>
      <c r="B97" s="10" t="s">
        <v>226</v>
      </c>
      <c r="C97" s="11" t="s">
        <v>36</v>
      </c>
      <c r="D97" s="10" t="s">
        <v>253</v>
      </c>
      <c r="E97" s="11" t="s">
        <v>54</v>
      </c>
      <c r="F97" s="11" t="s">
        <v>55</v>
      </c>
      <c r="G97" s="10" t="s">
        <v>259</v>
      </c>
      <c r="H97" s="10" t="s">
        <v>260</v>
      </c>
      <c r="I97" s="11" t="s">
        <v>31</v>
      </c>
      <c r="J97" s="33" t="s">
        <v>84</v>
      </c>
      <c r="K97" s="11" t="s">
        <v>84</v>
      </c>
      <c r="L97" s="11" t="s">
        <v>261</v>
      </c>
      <c r="M97" s="11" t="s">
        <v>261</v>
      </c>
      <c r="N97" s="11" t="s">
        <v>261</v>
      </c>
      <c r="O97" s="33"/>
      <c r="P97" s="11"/>
      <c r="Q97" s="11"/>
      <c r="R97" s="11"/>
      <c r="S97" s="11">
        <v>50</v>
      </c>
      <c r="T97" s="11">
        <v>50</v>
      </c>
      <c r="U97" s="11">
        <v>50</v>
      </c>
    </row>
    <row r="98" spans="1:21" ht="15" hidden="1" customHeight="1" x14ac:dyDescent="0.3">
      <c r="A98" s="12" t="s">
        <v>225</v>
      </c>
      <c r="B98" s="10" t="s">
        <v>226</v>
      </c>
      <c r="C98" s="11" t="s">
        <v>36</v>
      </c>
      <c r="D98" s="10" t="s">
        <v>253</v>
      </c>
      <c r="E98" s="11" t="s">
        <v>54</v>
      </c>
      <c r="F98" s="11" t="s">
        <v>71</v>
      </c>
      <c r="G98" s="10" t="s">
        <v>262</v>
      </c>
      <c r="H98" s="10" t="s">
        <v>263</v>
      </c>
      <c r="I98" s="11" t="s">
        <v>31</v>
      </c>
      <c r="J98" s="33"/>
      <c r="K98" s="11"/>
      <c r="L98" s="11"/>
      <c r="M98" s="11"/>
      <c r="N98" s="11" t="s">
        <v>251</v>
      </c>
      <c r="O98" s="33"/>
      <c r="P98" s="11"/>
      <c r="Q98" s="11"/>
      <c r="R98" s="11"/>
      <c r="S98" s="11" t="s">
        <v>258</v>
      </c>
      <c r="T98" s="11" t="s">
        <v>258</v>
      </c>
      <c r="U98" s="11" t="s">
        <v>258</v>
      </c>
    </row>
    <row r="99" spans="1:21" ht="15" hidden="1" customHeight="1" x14ac:dyDescent="0.3">
      <c r="A99" s="12" t="s">
        <v>225</v>
      </c>
      <c r="B99" s="10" t="s">
        <v>226</v>
      </c>
      <c r="C99" s="11" t="s">
        <v>36</v>
      </c>
      <c r="D99" s="10" t="s">
        <v>264</v>
      </c>
      <c r="E99" s="11" t="s">
        <v>24</v>
      </c>
      <c r="F99" s="11" t="s">
        <v>25</v>
      </c>
      <c r="G99" s="10" t="s">
        <v>265</v>
      </c>
      <c r="H99" s="10" t="s">
        <v>266</v>
      </c>
      <c r="I99" s="11" t="s">
        <v>28</v>
      </c>
      <c r="J99" s="33" t="s">
        <v>267</v>
      </c>
      <c r="K99" s="11" t="s">
        <v>252</v>
      </c>
      <c r="L99" s="11" t="s">
        <v>268</v>
      </c>
      <c r="M99" s="11" t="s">
        <v>269</v>
      </c>
      <c r="N99" s="11" t="s">
        <v>251</v>
      </c>
      <c r="O99" s="33" t="s">
        <v>270</v>
      </c>
      <c r="P99" s="11" t="s">
        <v>270</v>
      </c>
      <c r="Q99" s="11" t="s">
        <v>270</v>
      </c>
      <c r="R99" s="11" t="s">
        <v>270</v>
      </c>
      <c r="S99" s="11" t="s">
        <v>270</v>
      </c>
      <c r="T99" s="11" t="s">
        <v>270</v>
      </c>
      <c r="U99" s="11" t="s">
        <v>270</v>
      </c>
    </row>
    <row r="100" spans="1:21" ht="15" hidden="1" customHeight="1" x14ac:dyDescent="0.3">
      <c r="A100" s="12" t="s">
        <v>225</v>
      </c>
      <c r="B100" s="10" t="s">
        <v>226</v>
      </c>
      <c r="C100" s="11" t="s">
        <v>36</v>
      </c>
      <c r="D100" s="10" t="s">
        <v>264</v>
      </c>
      <c r="E100" s="11" t="s">
        <v>24</v>
      </c>
      <c r="F100" s="11" t="s">
        <v>25</v>
      </c>
      <c r="G100" s="10" t="s">
        <v>271</v>
      </c>
      <c r="H100" s="10" t="s">
        <v>272</v>
      </c>
      <c r="I100" s="11" t="s">
        <v>28</v>
      </c>
      <c r="J100" s="33" t="s">
        <v>273</v>
      </c>
      <c r="K100" s="11" t="s">
        <v>274</v>
      </c>
      <c r="L100" s="11" t="s">
        <v>275</v>
      </c>
      <c r="M100" s="11" t="s">
        <v>276</v>
      </c>
      <c r="N100" s="11" t="s">
        <v>251</v>
      </c>
      <c r="O100" s="33" t="s">
        <v>270</v>
      </c>
      <c r="P100" s="11" t="s">
        <v>270</v>
      </c>
      <c r="Q100" s="11" t="s">
        <v>270</v>
      </c>
      <c r="R100" s="11" t="s">
        <v>270</v>
      </c>
      <c r="S100" s="11" t="s">
        <v>270</v>
      </c>
      <c r="T100" s="11" t="s">
        <v>270</v>
      </c>
      <c r="U100" s="11" t="s">
        <v>270</v>
      </c>
    </row>
    <row r="101" spans="1:21" ht="15" hidden="1" customHeight="1" x14ac:dyDescent="0.3">
      <c r="A101" s="12" t="s">
        <v>225</v>
      </c>
      <c r="B101" s="10" t="s">
        <v>226</v>
      </c>
      <c r="C101" s="11" t="s">
        <v>36</v>
      </c>
      <c r="D101" s="10" t="s">
        <v>264</v>
      </c>
      <c r="E101" s="11" t="s">
        <v>24</v>
      </c>
      <c r="F101" s="11" t="s">
        <v>25</v>
      </c>
      <c r="G101" s="10" t="s">
        <v>277</v>
      </c>
      <c r="H101" s="10" t="s">
        <v>278</v>
      </c>
      <c r="I101" s="11" t="s">
        <v>28</v>
      </c>
      <c r="J101" s="33" t="s">
        <v>279</v>
      </c>
      <c r="K101" s="11" t="s">
        <v>280</v>
      </c>
      <c r="L101" s="11" t="s">
        <v>281</v>
      </c>
      <c r="M101" s="11" t="s">
        <v>282</v>
      </c>
      <c r="N101" s="11" t="s">
        <v>251</v>
      </c>
      <c r="O101" s="33" t="s">
        <v>270</v>
      </c>
      <c r="P101" s="11" t="s">
        <v>270</v>
      </c>
      <c r="Q101" s="11" t="s">
        <v>270</v>
      </c>
      <c r="R101" s="11" t="s">
        <v>270</v>
      </c>
      <c r="S101" s="11" t="s">
        <v>270</v>
      </c>
      <c r="T101" s="11" t="s">
        <v>270</v>
      </c>
      <c r="U101" s="11" t="s">
        <v>270</v>
      </c>
    </row>
    <row r="102" spans="1:21" ht="15" hidden="1" customHeight="1" x14ac:dyDescent="0.3">
      <c r="A102" s="12" t="s">
        <v>225</v>
      </c>
      <c r="B102" s="10" t="s">
        <v>226</v>
      </c>
      <c r="C102" s="11" t="s">
        <v>36</v>
      </c>
      <c r="D102" s="10" t="s">
        <v>283</v>
      </c>
      <c r="E102" s="11" t="s">
        <v>24</v>
      </c>
      <c r="F102" s="11" t="s">
        <v>25</v>
      </c>
      <c r="G102" s="10" t="s">
        <v>284</v>
      </c>
      <c r="H102" s="10" t="s">
        <v>285</v>
      </c>
      <c r="I102" s="11" t="s">
        <v>28</v>
      </c>
      <c r="J102" s="33" t="s">
        <v>286</v>
      </c>
      <c r="K102" s="11" t="s">
        <v>287</v>
      </c>
      <c r="L102" s="11" t="s">
        <v>288</v>
      </c>
      <c r="M102" s="11" t="s">
        <v>279</v>
      </c>
      <c r="N102" s="11" t="s">
        <v>251</v>
      </c>
      <c r="O102" s="33" t="s">
        <v>289</v>
      </c>
      <c r="P102" s="11" t="s">
        <v>289</v>
      </c>
      <c r="Q102" s="11" t="s">
        <v>289</v>
      </c>
      <c r="R102" s="11" t="s">
        <v>289</v>
      </c>
      <c r="S102" s="11" t="s">
        <v>289</v>
      </c>
      <c r="T102" s="11" t="s">
        <v>289</v>
      </c>
      <c r="U102" s="11" t="s">
        <v>289</v>
      </c>
    </row>
    <row r="103" spans="1:21" ht="15" hidden="1" customHeight="1" x14ac:dyDescent="0.3">
      <c r="A103" s="12" t="s">
        <v>225</v>
      </c>
      <c r="B103" s="10" t="s">
        <v>226</v>
      </c>
      <c r="C103" s="11" t="s">
        <v>36</v>
      </c>
      <c r="D103" s="10" t="s">
        <v>283</v>
      </c>
      <c r="E103" s="11" t="s">
        <v>24</v>
      </c>
      <c r="F103" s="11" t="s">
        <v>25</v>
      </c>
      <c r="G103" s="10" t="s">
        <v>290</v>
      </c>
      <c r="H103" s="10" t="s">
        <v>291</v>
      </c>
      <c r="I103" s="11" t="s">
        <v>28</v>
      </c>
      <c r="J103" s="33" t="s">
        <v>279</v>
      </c>
      <c r="K103" s="11" t="s">
        <v>292</v>
      </c>
      <c r="L103" s="11" t="s">
        <v>293</v>
      </c>
      <c r="M103" s="11" t="s">
        <v>258</v>
      </c>
      <c r="N103" s="11" t="s">
        <v>251</v>
      </c>
      <c r="O103" s="33" t="s">
        <v>279</v>
      </c>
      <c r="P103" s="11" t="s">
        <v>279</v>
      </c>
      <c r="Q103" s="11" t="s">
        <v>279</v>
      </c>
      <c r="R103" s="11" t="s">
        <v>279</v>
      </c>
      <c r="S103" s="11" t="s">
        <v>279</v>
      </c>
      <c r="T103" s="11" t="s">
        <v>279</v>
      </c>
      <c r="U103" s="11" t="s">
        <v>279</v>
      </c>
    </row>
    <row r="104" spans="1:21" ht="15" hidden="1" customHeight="1" x14ac:dyDescent="0.3">
      <c r="A104" s="12" t="s">
        <v>225</v>
      </c>
      <c r="B104" s="10" t="s">
        <v>226</v>
      </c>
      <c r="C104" s="11" t="s">
        <v>36</v>
      </c>
      <c r="D104" s="10" t="s">
        <v>283</v>
      </c>
      <c r="E104" s="11" t="s">
        <v>24</v>
      </c>
      <c r="F104" s="11" t="s">
        <v>25</v>
      </c>
      <c r="G104" s="10" t="s">
        <v>294</v>
      </c>
      <c r="H104" s="10" t="s">
        <v>294</v>
      </c>
      <c r="I104" s="11" t="s">
        <v>28</v>
      </c>
      <c r="J104" s="33" t="s">
        <v>295</v>
      </c>
      <c r="K104" s="11" t="s">
        <v>296</v>
      </c>
      <c r="L104" s="11" t="s">
        <v>297</v>
      </c>
      <c r="M104" s="11" t="s">
        <v>298</v>
      </c>
      <c r="N104" s="11" t="s">
        <v>251</v>
      </c>
      <c r="O104" s="33" t="s">
        <v>270</v>
      </c>
      <c r="P104" s="11" t="s">
        <v>270</v>
      </c>
      <c r="Q104" s="11" t="s">
        <v>270</v>
      </c>
      <c r="R104" s="11" t="s">
        <v>270</v>
      </c>
      <c r="S104" s="11" t="s">
        <v>270</v>
      </c>
      <c r="T104" s="11" t="s">
        <v>270</v>
      </c>
      <c r="U104" s="11" t="s">
        <v>270</v>
      </c>
    </row>
    <row r="105" spans="1:21" ht="15" hidden="1" customHeight="1" x14ac:dyDescent="0.3">
      <c r="A105" s="12" t="s">
        <v>225</v>
      </c>
      <c r="B105" s="10" t="s">
        <v>226</v>
      </c>
      <c r="C105" s="11" t="s">
        <v>36</v>
      </c>
      <c r="D105" s="10" t="s">
        <v>299</v>
      </c>
      <c r="E105" s="11" t="s">
        <v>24</v>
      </c>
      <c r="F105" s="11" t="s">
        <v>25</v>
      </c>
      <c r="G105" s="10" t="s">
        <v>300</v>
      </c>
      <c r="H105" s="10" t="s">
        <v>301</v>
      </c>
      <c r="I105" s="11" t="s">
        <v>31</v>
      </c>
      <c r="J105" s="33" t="s">
        <v>42</v>
      </c>
      <c r="K105" s="11" t="s">
        <v>302</v>
      </c>
      <c r="L105" s="11" t="s">
        <v>302</v>
      </c>
      <c r="M105" s="11" t="s">
        <v>84</v>
      </c>
      <c r="N105" s="11" t="s">
        <v>251</v>
      </c>
      <c r="O105" s="33" t="s">
        <v>303</v>
      </c>
      <c r="P105" s="11" t="s">
        <v>304</v>
      </c>
      <c r="Q105" s="11" t="s">
        <v>304</v>
      </c>
      <c r="R105" s="11" t="s">
        <v>304</v>
      </c>
      <c r="S105" s="11" t="s">
        <v>302</v>
      </c>
      <c r="T105" s="11" t="s">
        <v>302</v>
      </c>
      <c r="U105" s="11" t="s">
        <v>305</v>
      </c>
    </row>
    <row r="106" spans="1:21" ht="15" hidden="1" customHeight="1" x14ac:dyDescent="0.3">
      <c r="A106" s="12" t="s">
        <v>225</v>
      </c>
      <c r="B106" s="10" t="s">
        <v>226</v>
      </c>
      <c r="C106" s="11" t="s">
        <v>36</v>
      </c>
      <c r="D106" s="10" t="s">
        <v>299</v>
      </c>
      <c r="E106" s="11" t="s">
        <v>24</v>
      </c>
      <c r="F106" s="11" t="s">
        <v>25</v>
      </c>
      <c r="G106" s="10" t="s">
        <v>306</v>
      </c>
      <c r="H106" s="10" t="s">
        <v>307</v>
      </c>
      <c r="I106" s="11" t="s">
        <v>31</v>
      </c>
      <c r="J106" s="33" t="s">
        <v>42</v>
      </c>
      <c r="K106" s="11" t="s">
        <v>308</v>
      </c>
      <c r="L106" s="11" t="s">
        <v>308</v>
      </c>
      <c r="M106" s="11" t="s">
        <v>84</v>
      </c>
      <c r="N106" s="11" t="s">
        <v>251</v>
      </c>
      <c r="O106" s="33" t="s">
        <v>305</v>
      </c>
      <c r="P106" s="11" t="s">
        <v>309</v>
      </c>
      <c r="Q106" s="11" t="s">
        <v>84</v>
      </c>
      <c r="R106" s="11" t="s">
        <v>309</v>
      </c>
      <c r="S106" s="11" t="s">
        <v>308</v>
      </c>
      <c r="T106" s="11" t="s">
        <v>308</v>
      </c>
      <c r="U106" s="11" t="s">
        <v>310</v>
      </c>
    </row>
    <row r="107" spans="1:21" ht="15" hidden="1" customHeight="1" x14ac:dyDescent="0.3">
      <c r="A107" s="12" t="s">
        <v>225</v>
      </c>
      <c r="B107" s="10" t="s">
        <v>226</v>
      </c>
      <c r="C107" s="11" t="s">
        <v>36</v>
      </c>
      <c r="D107" s="10" t="s">
        <v>299</v>
      </c>
      <c r="E107" s="11" t="s">
        <v>24</v>
      </c>
      <c r="F107" s="11" t="s">
        <v>25</v>
      </c>
      <c r="G107" s="10" t="s">
        <v>311</v>
      </c>
      <c r="H107" s="10" t="s">
        <v>312</v>
      </c>
      <c r="I107" s="11" t="s">
        <v>31</v>
      </c>
      <c r="J107" s="33" t="s">
        <v>42</v>
      </c>
      <c r="K107" s="11" t="s">
        <v>279</v>
      </c>
      <c r="L107" s="11" t="s">
        <v>279</v>
      </c>
      <c r="M107" s="11" t="s">
        <v>84</v>
      </c>
      <c r="N107" s="11" t="s">
        <v>251</v>
      </c>
      <c r="O107" s="33" t="s">
        <v>84</v>
      </c>
      <c r="P107" s="11" t="s">
        <v>279</v>
      </c>
      <c r="Q107" s="11" t="s">
        <v>84</v>
      </c>
      <c r="R107" s="11" t="s">
        <v>279</v>
      </c>
      <c r="S107" s="11" t="s">
        <v>279</v>
      </c>
      <c r="T107" s="11" t="s">
        <v>279</v>
      </c>
      <c r="U107" s="11" t="s">
        <v>279</v>
      </c>
    </row>
    <row r="108" spans="1:21" ht="15" hidden="1" customHeight="1" x14ac:dyDescent="0.3">
      <c r="A108" s="12" t="s">
        <v>225</v>
      </c>
      <c r="B108" s="10" t="s">
        <v>226</v>
      </c>
      <c r="C108" s="11" t="s">
        <v>36</v>
      </c>
      <c r="D108" s="10" t="s">
        <v>313</v>
      </c>
      <c r="E108" s="11" t="s">
        <v>24</v>
      </c>
      <c r="F108" s="11" t="s">
        <v>25</v>
      </c>
      <c r="G108" s="10" t="s">
        <v>314</v>
      </c>
      <c r="H108" s="10" t="s">
        <v>315</v>
      </c>
      <c r="I108" s="11" t="s">
        <v>31</v>
      </c>
      <c r="J108" s="33" t="s">
        <v>316</v>
      </c>
      <c r="K108" s="11" t="s">
        <v>317</v>
      </c>
      <c r="L108" s="11" t="s">
        <v>318</v>
      </c>
      <c r="M108" s="11" t="s">
        <v>303</v>
      </c>
      <c r="N108" s="11" t="s">
        <v>251</v>
      </c>
      <c r="O108" s="33"/>
      <c r="P108" s="11" t="s">
        <v>319</v>
      </c>
      <c r="Q108" s="11" t="s">
        <v>319</v>
      </c>
      <c r="R108" s="11" t="s">
        <v>319</v>
      </c>
      <c r="S108" s="11" t="s">
        <v>304</v>
      </c>
      <c r="T108" s="11" t="s">
        <v>304</v>
      </c>
      <c r="U108" s="11" t="s">
        <v>304</v>
      </c>
    </row>
    <row r="109" spans="1:21" ht="15" hidden="1" customHeight="1" x14ac:dyDescent="0.3">
      <c r="A109" s="12" t="s">
        <v>225</v>
      </c>
      <c r="B109" s="10" t="s">
        <v>226</v>
      </c>
      <c r="C109" s="11" t="s">
        <v>36</v>
      </c>
      <c r="D109" s="10" t="s">
        <v>313</v>
      </c>
      <c r="E109" s="11" t="s">
        <v>24</v>
      </c>
      <c r="F109" s="11" t="s">
        <v>25</v>
      </c>
      <c r="G109" s="10" t="s">
        <v>320</v>
      </c>
      <c r="H109" s="10" t="s">
        <v>321</v>
      </c>
      <c r="I109" s="11" t="s">
        <v>31</v>
      </c>
      <c r="J109" s="33" t="s">
        <v>316</v>
      </c>
      <c r="K109" s="11" t="s">
        <v>322</v>
      </c>
      <c r="L109" s="11" t="s">
        <v>318</v>
      </c>
      <c r="M109" s="11" t="s">
        <v>303</v>
      </c>
      <c r="N109" s="11" t="s">
        <v>251</v>
      </c>
      <c r="O109" s="33"/>
      <c r="P109" s="11" t="s">
        <v>319</v>
      </c>
      <c r="Q109" s="11" t="s">
        <v>319</v>
      </c>
      <c r="R109" s="11" t="s">
        <v>319</v>
      </c>
      <c r="S109" s="11" t="s">
        <v>319</v>
      </c>
      <c r="T109" s="11" t="s">
        <v>319</v>
      </c>
      <c r="U109" s="11" t="s">
        <v>309</v>
      </c>
    </row>
    <row r="110" spans="1:21" ht="15" hidden="1" customHeight="1" x14ac:dyDescent="0.3">
      <c r="A110" s="12" t="s">
        <v>225</v>
      </c>
      <c r="B110" s="10" t="s">
        <v>226</v>
      </c>
      <c r="C110" s="11" t="s">
        <v>36</v>
      </c>
      <c r="D110" s="10" t="s">
        <v>313</v>
      </c>
      <c r="E110" s="11" t="s">
        <v>24</v>
      </c>
      <c r="F110" s="11" t="s">
        <v>25</v>
      </c>
      <c r="G110" s="10" t="s">
        <v>323</v>
      </c>
      <c r="H110" s="10" t="s">
        <v>324</v>
      </c>
      <c r="I110" s="11" t="s">
        <v>31</v>
      </c>
      <c r="J110" s="33"/>
      <c r="K110" s="11"/>
      <c r="L110" s="11"/>
      <c r="M110" s="11"/>
      <c r="N110" s="11" t="s">
        <v>251</v>
      </c>
      <c r="O110" s="33"/>
      <c r="P110" s="11"/>
      <c r="Q110" s="11"/>
      <c r="R110" s="11"/>
      <c r="S110" s="11" t="s">
        <v>319</v>
      </c>
      <c r="T110" s="11" t="s">
        <v>319</v>
      </c>
      <c r="U110" s="11" t="s">
        <v>309</v>
      </c>
    </row>
    <row r="111" spans="1:21" ht="15" hidden="1" customHeight="1" x14ac:dyDescent="0.3">
      <c r="A111" s="12" t="s">
        <v>225</v>
      </c>
      <c r="B111" s="10" t="s">
        <v>226</v>
      </c>
      <c r="C111" s="11" t="s">
        <v>36</v>
      </c>
      <c r="D111" s="10" t="s">
        <v>313</v>
      </c>
      <c r="E111" s="11" t="s">
        <v>24</v>
      </c>
      <c r="F111" s="11" t="s">
        <v>25</v>
      </c>
      <c r="G111" s="10" t="s">
        <v>325</v>
      </c>
      <c r="H111" s="10" t="s">
        <v>326</v>
      </c>
      <c r="I111" s="11" t="s">
        <v>31</v>
      </c>
      <c r="J111" s="33"/>
      <c r="K111" s="11"/>
      <c r="L111" s="11"/>
      <c r="M111" s="11"/>
      <c r="N111" s="11" t="s">
        <v>327</v>
      </c>
      <c r="O111" s="33"/>
      <c r="P111" s="11"/>
      <c r="Q111" s="11"/>
      <c r="R111" s="11"/>
      <c r="S111" s="11" t="s">
        <v>328</v>
      </c>
      <c r="T111" s="11" t="s">
        <v>328</v>
      </c>
      <c r="U111" s="11" t="s">
        <v>328</v>
      </c>
    </row>
    <row r="112" spans="1:21" ht="15" hidden="1" customHeight="1" x14ac:dyDescent="0.3">
      <c r="A112" s="12" t="s">
        <v>225</v>
      </c>
      <c r="B112" s="10" t="s">
        <v>226</v>
      </c>
      <c r="C112" s="11" t="s">
        <v>36</v>
      </c>
      <c r="D112" s="10" t="s">
        <v>313</v>
      </c>
      <c r="E112" s="11" t="s">
        <v>54</v>
      </c>
      <c r="F112" s="11" t="s">
        <v>71</v>
      </c>
      <c r="G112" s="10" t="s">
        <v>329</v>
      </c>
      <c r="H112" s="10" t="s">
        <v>330</v>
      </c>
      <c r="I112" s="11" t="s">
        <v>31</v>
      </c>
      <c r="J112" s="33"/>
      <c r="K112" s="11"/>
      <c r="L112" s="11"/>
      <c r="M112" s="11"/>
      <c r="N112" s="11" t="s">
        <v>251</v>
      </c>
      <c r="O112" s="33"/>
      <c r="P112" s="11"/>
      <c r="Q112" s="11"/>
      <c r="R112" s="11"/>
      <c r="S112" s="11" t="s">
        <v>331</v>
      </c>
      <c r="T112" s="11" t="s">
        <v>331</v>
      </c>
      <c r="U112" s="11" t="s">
        <v>331</v>
      </c>
    </row>
    <row r="113" spans="1:21" ht="15" hidden="1" customHeight="1" x14ac:dyDescent="0.3">
      <c r="A113" s="12" t="s">
        <v>225</v>
      </c>
      <c r="B113" s="10" t="s">
        <v>226</v>
      </c>
      <c r="C113" s="11" t="s">
        <v>36</v>
      </c>
      <c r="D113" s="10" t="s">
        <v>313</v>
      </c>
      <c r="E113" s="11" t="s">
        <v>24</v>
      </c>
      <c r="F113" s="11" t="s">
        <v>25</v>
      </c>
      <c r="G113" s="10" t="s">
        <v>332</v>
      </c>
      <c r="H113" s="10" t="s">
        <v>333</v>
      </c>
      <c r="I113" s="11" t="s">
        <v>28</v>
      </c>
      <c r="J113" s="33"/>
      <c r="K113" s="11"/>
      <c r="L113" s="11"/>
      <c r="M113" s="11"/>
      <c r="N113" s="11" t="s">
        <v>246</v>
      </c>
      <c r="O113" s="33"/>
      <c r="P113" s="11"/>
      <c r="Q113" s="11"/>
      <c r="R113" s="11"/>
      <c r="S113" s="11" t="s">
        <v>334</v>
      </c>
      <c r="T113" s="11" t="s">
        <v>334</v>
      </c>
      <c r="U113" s="11" t="s">
        <v>334</v>
      </c>
    </row>
    <row r="114" spans="1:21" ht="15" hidden="1" customHeight="1" x14ac:dyDescent="0.3">
      <c r="A114" s="12" t="s">
        <v>225</v>
      </c>
      <c r="B114" s="10" t="s">
        <v>226</v>
      </c>
      <c r="C114" s="11" t="s">
        <v>36</v>
      </c>
      <c r="D114" s="10" t="s">
        <v>313</v>
      </c>
      <c r="E114" s="11" t="s">
        <v>24</v>
      </c>
      <c r="F114" s="11" t="s">
        <v>25</v>
      </c>
      <c r="G114" s="10" t="s">
        <v>335</v>
      </c>
      <c r="H114" s="10" t="s">
        <v>336</v>
      </c>
      <c r="I114" s="11" t="s">
        <v>28</v>
      </c>
      <c r="J114" s="33"/>
      <c r="K114" s="11"/>
      <c r="L114" s="11"/>
      <c r="M114" s="11"/>
      <c r="N114" s="11" t="s">
        <v>337</v>
      </c>
      <c r="O114" s="33"/>
      <c r="P114" s="11"/>
      <c r="Q114" s="11"/>
      <c r="R114" s="11"/>
      <c r="S114" s="11" t="s">
        <v>252</v>
      </c>
      <c r="T114" s="11" t="s">
        <v>252</v>
      </c>
      <c r="U114" s="11" t="s">
        <v>252</v>
      </c>
    </row>
    <row r="115" spans="1:21" ht="15" hidden="1" customHeight="1" x14ac:dyDescent="0.3">
      <c r="A115" s="12" t="s">
        <v>225</v>
      </c>
      <c r="B115" s="10" t="s">
        <v>226</v>
      </c>
      <c r="C115" s="11" t="s">
        <v>36</v>
      </c>
      <c r="D115" s="10" t="s">
        <v>313</v>
      </c>
      <c r="E115" s="11" t="s">
        <v>24</v>
      </c>
      <c r="F115" s="11" t="s">
        <v>25</v>
      </c>
      <c r="G115" s="10" t="s">
        <v>338</v>
      </c>
      <c r="H115" s="10" t="s">
        <v>339</v>
      </c>
      <c r="I115" s="11" t="s">
        <v>28</v>
      </c>
      <c r="J115" s="33"/>
      <c r="K115" s="11"/>
      <c r="L115" s="11"/>
      <c r="M115" s="11"/>
      <c r="N115" s="11" t="s">
        <v>340</v>
      </c>
      <c r="O115" s="33"/>
      <c r="P115" s="11"/>
      <c r="Q115" s="11"/>
      <c r="R115" s="11"/>
      <c r="S115" s="11" t="s">
        <v>341</v>
      </c>
      <c r="T115" s="11" t="s">
        <v>341</v>
      </c>
      <c r="U115" s="11" t="s">
        <v>341</v>
      </c>
    </row>
    <row r="116" spans="1:21" ht="15" hidden="1" customHeight="1" x14ac:dyDescent="0.3">
      <c r="A116" s="12" t="s">
        <v>225</v>
      </c>
      <c r="B116" s="10" t="s">
        <v>226</v>
      </c>
      <c r="C116" s="11" t="s">
        <v>36</v>
      </c>
      <c r="D116" s="10" t="s">
        <v>342</v>
      </c>
      <c r="E116" s="11" t="s">
        <v>24</v>
      </c>
      <c r="F116" s="11" t="s">
        <v>25</v>
      </c>
      <c r="G116" s="10" t="s">
        <v>343</v>
      </c>
      <c r="H116" s="10" t="s">
        <v>344</v>
      </c>
      <c r="I116" s="11" t="s">
        <v>31</v>
      </c>
      <c r="J116" s="33" t="s">
        <v>345</v>
      </c>
      <c r="K116" s="11" t="s">
        <v>346</v>
      </c>
      <c r="L116" s="11" t="s">
        <v>347</v>
      </c>
      <c r="M116" s="11" t="s">
        <v>331</v>
      </c>
      <c r="N116" s="11" t="s">
        <v>251</v>
      </c>
      <c r="O116" s="33" t="s">
        <v>274</v>
      </c>
      <c r="P116" s="11" t="s">
        <v>274</v>
      </c>
      <c r="Q116" s="11" t="s">
        <v>274</v>
      </c>
      <c r="R116" s="11" t="s">
        <v>274</v>
      </c>
      <c r="S116" s="11" t="s">
        <v>274</v>
      </c>
      <c r="T116" s="11" t="s">
        <v>274</v>
      </c>
      <c r="U116" s="11" t="s">
        <v>274</v>
      </c>
    </row>
    <row r="117" spans="1:21" ht="15" hidden="1" customHeight="1" x14ac:dyDescent="0.3">
      <c r="A117" s="12" t="s">
        <v>225</v>
      </c>
      <c r="B117" s="10" t="s">
        <v>226</v>
      </c>
      <c r="C117" s="11" t="s">
        <v>36</v>
      </c>
      <c r="D117" s="10" t="s">
        <v>342</v>
      </c>
      <c r="E117" s="11" t="s">
        <v>24</v>
      </c>
      <c r="F117" s="11" t="s">
        <v>25</v>
      </c>
      <c r="G117" s="10" t="s">
        <v>348</v>
      </c>
      <c r="H117" s="10" t="s">
        <v>349</v>
      </c>
      <c r="I117" s="11" t="s">
        <v>31</v>
      </c>
      <c r="J117" s="33" t="s">
        <v>350</v>
      </c>
      <c r="K117" s="11" t="s">
        <v>351</v>
      </c>
      <c r="L117" s="11" t="s">
        <v>352</v>
      </c>
      <c r="M117" s="11" t="s">
        <v>353</v>
      </c>
      <c r="N117" s="11" t="s">
        <v>251</v>
      </c>
      <c r="O117" s="33" t="s">
        <v>84</v>
      </c>
      <c r="P117" s="11" t="s">
        <v>252</v>
      </c>
      <c r="Q117" s="11" t="s">
        <v>252</v>
      </c>
      <c r="R117" s="11" t="s">
        <v>252</v>
      </c>
      <c r="S117" s="11" t="s">
        <v>252</v>
      </c>
      <c r="T117" s="11" t="s">
        <v>252</v>
      </c>
      <c r="U117" s="11" t="s">
        <v>252</v>
      </c>
    </row>
    <row r="118" spans="1:21" ht="15" hidden="1" customHeight="1" x14ac:dyDescent="0.3">
      <c r="A118" s="12" t="s">
        <v>225</v>
      </c>
      <c r="B118" s="10" t="s">
        <v>226</v>
      </c>
      <c r="C118" s="11" t="s">
        <v>36</v>
      </c>
      <c r="D118" s="10" t="s">
        <v>342</v>
      </c>
      <c r="E118" s="11" t="s">
        <v>24</v>
      </c>
      <c r="F118" s="11" t="s">
        <v>25</v>
      </c>
      <c r="G118" s="10" t="s">
        <v>354</v>
      </c>
      <c r="H118" s="10" t="s">
        <v>355</v>
      </c>
      <c r="I118" s="11" t="s">
        <v>31</v>
      </c>
      <c r="J118" s="33" t="s">
        <v>356</v>
      </c>
      <c r="K118" s="11" t="s">
        <v>357</v>
      </c>
      <c r="L118" s="11" t="s">
        <v>357</v>
      </c>
      <c r="M118" s="11" t="s">
        <v>357</v>
      </c>
      <c r="N118" s="11" t="s">
        <v>251</v>
      </c>
      <c r="O118" s="33" t="s">
        <v>84</v>
      </c>
      <c r="P118" s="11" t="s">
        <v>303</v>
      </c>
      <c r="Q118" s="11" t="s">
        <v>303</v>
      </c>
      <c r="R118" s="11" t="s">
        <v>303</v>
      </c>
      <c r="S118" s="11" t="s">
        <v>303</v>
      </c>
      <c r="T118" s="11" t="s">
        <v>303</v>
      </c>
      <c r="U118" s="11" t="s">
        <v>303</v>
      </c>
    </row>
    <row r="119" spans="1:21" ht="15" hidden="1" customHeight="1" x14ac:dyDescent="0.3">
      <c r="A119" s="12" t="s">
        <v>225</v>
      </c>
      <c r="B119" s="10" t="s">
        <v>226</v>
      </c>
      <c r="C119" s="11" t="s">
        <v>36</v>
      </c>
      <c r="D119" s="10" t="s">
        <v>342</v>
      </c>
      <c r="E119" s="11" t="s">
        <v>54</v>
      </c>
      <c r="F119" s="11" t="s">
        <v>55</v>
      </c>
      <c r="G119" s="10" t="s">
        <v>358</v>
      </c>
      <c r="H119" s="10" t="s">
        <v>359</v>
      </c>
      <c r="I119" s="11" t="s">
        <v>31</v>
      </c>
      <c r="J119" s="33"/>
      <c r="K119" s="11"/>
      <c r="L119" s="11"/>
      <c r="M119" s="11"/>
      <c r="N119" s="11" t="s">
        <v>251</v>
      </c>
      <c r="O119" s="33"/>
      <c r="P119" s="11"/>
      <c r="Q119" s="11"/>
      <c r="R119" s="11"/>
      <c r="S119" s="11" t="s">
        <v>360</v>
      </c>
      <c r="T119" s="11" t="s">
        <v>361</v>
      </c>
      <c r="U119" s="11" t="s">
        <v>362</v>
      </c>
    </row>
    <row r="120" spans="1:21" ht="15" hidden="1" customHeight="1" x14ac:dyDescent="0.3">
      <c r="A120" s="12" t="s">
        <v>225</v>
      </c>
      <c r="B120" s="10" t="s">
        <v>226</v>
      </c>
      <c r="C120" s="11" t="s">
        <v>36</v>
      </c>
      <c r="D120" s="10" t="s">
        <v>342</v>
      </c>
      <c r="E120" s="11" t="s">
        <v>24</v>
      </c>
      <c r="F120" s="11" t="s">
        <v>25</v>
      </c>
      <c r="G120" s="10" t="s">
        <v>363</v>
      </c>
      <c r="H120" s="10" t="s">
        <v>364</v>
      </c>
      <c r="I120" s="11" t="s">
        <v>31</v>
      </c>
      <c r="J120" s="33"/>
      <c r="K120" s="11"/>
      <c r="L120" s="11"/>
      <c r="M120" s="11"/>
      <c r="N120" s="11" t="s">
        <v>251</v>
      </c>
      <c r="O120" s="33"/>
      <c r="P120" s="11"/>
      <c r="Q120" s="11"/>
      <c r="R120" s="11"/>
      <c r="S120" s="11" t="s">
        <v>322</v>
      </c>
      <c r="T120" s="11" t="s">
        <v>322</v>
      </c>
      <c r="U120" s="11" t="s">
        <v>322</v>
      </c>
    </row>
    <row r="121" spans="1:21" ht="15" hidden="1" customHeight="1" x14ac:dyDescent="0.3">
      <c r="A121" s="12" t="s">
        <v>225</v>
      </c>
      <c r="B121" s="10" t="s">
        <v>226</v>
      </c>
      <c r="C121" s="11" t="s">
        <v>36</v>
      </c>
      <c r="D121" s="10" t="s">
        <v>342</v>
      </c>
      <c r="E121" s="11" t="s">
        <v>24</v>
      </c>
      <c r="F121" s="11" t="s">
        <v>25</v>
      </c>
      <c r="G121" s="10" t="s">
        <v>365</v>
      </c>
      <c r="H121" s="10" t="s">
        <v>366</v>
      </c>
      <c r="I121" s="11" t="s">
        <v>31</v>
      </c>
      <c r="J121" s="33"/>
      <c r="K121" s="11"/>
      <c r="L121" s="11"/>
      <c r="M121" s="11"/>
      <c r="N121" s="11" t="s">
        <v>251</v>
      </c>
      <c r="O121" s="33"/>
      <c r="P121" s="11"/>
      <c r="Q121" s="11"/>
      <c r="R121" s="11"/>
      <c r="S121" s="11" t="s">
        <v>367</v>
      </c>
      <c r="T121" s="11" t="s">
        <v>367</v>
      </c>
      <c r="U121" s="11" t="s">
        <v>367</v>
      </c>
    </row>
    <row r="122" spans="1:21" ht="15" hidden="1" customHeight="1" x14ac:dyDescent="0.3">
      <c r="A122" s="12" t="s">
        <v>225</v>
      </c>
      <c r="B122" s="10" t="s">
        <v>226</v>
      </c>
      <c r="C122" s="11" t="s">
        <v>36</v>
      </c>
      <c r="D122" s="10" t="s">
        <v>342</v>
      </c>
      <c r="E122" s="11" t="s">
        <v>54</v>
      </c>
      <c r="F122" s="11" t="s">
        <v>71</v>
      </c>
      <c r="G122" s="10" t="s">
        <v>368</v>
      </c>
      <c r="H122" s="10" t="s">
        <v>369</v>
      </c>
      <c r="I122" s="11" t="s">
        <v>31</v>
      </c>
      <c r="J122" s="33"/>
      <c r="K122" s="11"/>
      <c r="L122" s="11"/>
      <c r="M122" s="11"/>
      <c r="N122" s="11" t="s">
        <v>251</v>
      </c>
      <c r="O122" s="33"/>
      <c r="P122" s="11"/>
      <c r="Q122" s="11"/>
      <c r="R122" s="11"/>
      <c r="S122" s="11" t="s">
        <v>328</v>
      </c>
      <c r="T122" s="11" t="s">
        <v>233</v>
      </c>
      <c r="U122" s="11" t="s">
        <v>334</v>
      </c>
    </row>
    <row r="123" spans="1:21" ht="15" hidden="1" customHeight="1" x14ac:dyDescent="0.3">
      <c r="A123" s="12" t="s">
        <v>225</v>
      </c>
      <c r="B123" s="10" t="s">
        <v>226</v>
      </c>
      <c r="C123" s="11" t="s">
        <v>36</v>
      </c>
      <c r="D123" s="10" t="s">
        <v>342</v>
      </c>
      <c r="E123" s="11" t="s">
        <v>54</v>
      </c>
      <c r="F123" s="11" t="s">
        <v>71</v>
      </c>
      <c r="G123" s="10" t="s">
        <v>370</v>
      </c>
      <c r="H123" s="10" t="s">
        <v>371</v>
      </c>
      <c r="I123" s="11" t="s">
        <v>31</v>
      </c>
      <c r="J123" s="33"/>
      <c r="K123" s="11"/>
      <c r="L123" s="11"/>
      <c r="M123" s="11"/>
      <c r="N123" s="11" t="s">
        <v>251</v>
      </c>
      <c r="O123" s="33"/>
      <c r="P123" s="11"/>
      <c r="Q123" s="11"/>
      <c r="R123" s="11"/>
      <c r="S123" s="11" t="s">
        <v>303</v>
      </c>
      <c r="T123" s="11" t="s">
        <v>303</v>
      </c>
      <c r="U123" s="11" t="s">
        <v>303</v>
      </c>
    </row>
    <row r="124" spans="1:21" ht="15" hidden="1" customHeight="1" x14ac:dyDescent="0.3">
      <c r="A124" s="12" t="s">
        <v>225</v>
      </c>
      <c r="B124" s="10" t="s">
        <v>226</v>
      </c>
      <c r="C124" s="11" t="s">
        <v>36</v>
      </c>
      <c r="D124" s="10" t="s">
        <v>342</v>
      </c>
      <c r="E124" s="11" t="s">
        <v>54</v>
      </c>
      <c r="F124" s="11" t="s">
        <v>71</v>
      </c>
      <c r="G124" s="10" t="s">
        <v>372</v>
      </c>
      <c r="H124" s="10" t="s">
        <v>373</v>
      </c>
      <c r="I124" s="11" t="s">
        <v>31</v>
      </c>
      <c r="J124" s="33"/>
      <c r="K124" s="11"/>
      <c r="L124" s="11"/>
      <c r="M124" s="11"/>
      <c r="N124" s="11" t="s">
        <v>251</v>
      </c>
      <c r="O124" s="33"/>
      <c r="P124" s="11"/>
      <c r="Q124" s="11"/>
      <c r="R124" s="11"/>
      <c r="S124" s="11" t="s">
        <v>328</v>
      </c>
      <c r="T124" s="11" t="s">
        <v>233</v>
      </c>
      <c r="U124" s="11" t="s">
        <v>334</v>
      </c>
    </row>
    <row r="125" spans="1:21" ht="15" hidden="1" customHeight="1" x14ac:dyDescent="0.3">
      <c r="A125" s="12" t="s">
        <v>225</v>
      </c>
      <c r="B125" s="10" t="s">
        <v>226</v>
      </c>
      <c r="C125" s="11" t="s">
        <v>36</v>
      </c>
      <c r="D125" s="10" t="s">
        <v>342</v>
      </c>
      <c r="E125" s="11" t="s">
        <v>54</v>
      </c>
      <c r="F125" s="11" t="s">
        <v>71</v>
      </c>
      <c r="G125" s="10" t="s">
        <v>374</v>
      </c>
      <c r="H125" s="10" t="s">
        <v>375</v>
      </c>
      <c r="I125" s="11" t="s">
        <v>31</v>
      </c>
      <c r="J125" s="33"/>
      <c r="K125" s="11"/>
      <c r="L125" s="11"/>
      <c r="M125" s="11"/>
      <c r="N125" s="11" t="s">
        <v>251</v>
      </c>
      <c r="O125" s="33"/>
      <c r="P125" s="11"/>
      <c r="Q125" s="11"/>
      <c r="R125" s="11"/>
      <c r="S125" s="11" t="s">
        <v>303</v>
      </c>
      <c r="T125" s="11" t="s">
        <v>303</v>
      </c>
      <c r="U125" s="11" t="s">
        <v>303</v>
      </c>
    </row>
    <row r="126" spans="1:21" ht="15" hidden="1" customHeight="1" x14ac:dyDescent="0.3">
      <c r="A126" s="12" t="s">
        <v>225</v>
      </c>
      <c r="B126" s="10" t="s">
        <v>226</v>
      </c>
      <c r="C126" s="11" t="s">
        <v>36</v>
      </c>
      <c r="D126" s="10" t="s">
        <v>342</v>
      </c>
      <c r="E126" s="11" t="s">
        <v>24</v>
      </c>
      <c r="F126" s="11" t="s">
        <v>25</v>
      </c>
      <c r="G126" s="10" t="s">
        <v>376</v>
      </c>
      <c r="H126" s="10" t="s">
        <v>377</v>
      </c>
      <c r="I126" s="11" t="s">
        <v>31</v>
      </c>
      <c r="J126" s="33"/>
      <c r="K126" s="11"/>
      <c r="L126" s="11"/>
      <c r="M126" s="11"/>
      <c r="N126" s="11" t="s">
        <v>251</v>
      </c>
      <c r="O126" s="33"/>
      <c r="P126" s="11"/>
      <c r="Q126" s="11"/>
      <c r="R126" s="11"/>
      <c r="S126" s="11" t="s">
        <v>319</v>
      </c>
      <c r="T126" s="11" t="s">
        <v>305</v>
      </c>
      <c r="U126" s="11" t="s">
        <v>303</v>
      </c>
    </row>
    <row r="127" spans="1:21" ht="15" hidden="1" customHeight="1" x14ac:dyDescent="0.3">
      <c r="A127" s="12" t="s">
        <v>225</v>
      </c>
      <c r="B127" s="10" t="s">
        <v>226</v>
      </c>
      <c r="C127" s="11" t="s">
        <v>36</v>
      </c>
      <c r="D127" s="10" t="s">
        <v>378</v>
      </c>
      <c r="E127" s="11" t="s">
        <v>24</v>
      </c>
      <c r="F127" s="11" t="s">
        <v>25</v>
      </c>
      <c r="G127" s="10" t="s">
        <v>379</v>
      </c>
      <c r="H127" s="10" t="s">
        <v>380</v>
      </c>
      <c r="I127" s="11" t="s">
        <v>31</v>
      </c>
      <c r="J127" s="33"/>
      <c r="K127" s="11"/>
      <c r="L127" s="11"/>
      <c r="M127" s="11"/>
      <c r="N127" s="11" t="s">
        <v>251</v>
      </c>
      <c r="O127" s="33"/>
      <c r="P127" s="11"/>
      <c r="Q127" s="11"/>
      <c r="R127" s="11"/>
      <c r="S127" s="11" t="s">
        <v>309</v>
      </c>
      <c r="T127" s="11" t="s">
        <v>309</v>
      </c>
      <c r="U127" s="11" t="s">
        <v>309</v>
      </c>
    </row>
    <row r="128" spans="1:21" ht="15" hidden="1" customHeight="1" x14ac:dyDescent="0.3">
      <c r="A128" s="12" t="s">
        <v>225</v>
      </c>
      <c r="B128" s="10" t="s">
        <v>226</v>
      </c>
      <c r="C128" s="11" t="s">
        <v>36</v>
      </c>
      <c r="D128" s="10" t="s">
        <v>378</v>
      </c>
      <c r="E128" s="11" t="s">
        <v>24</v>
      </c>
      <c r="F128" s="11" t="s">
        <v>25</v>
      </c>
      <c r="G128" s="10" t="s">
        <v>381</v>
      </c>
      <c r="H128" s="10" t="s">
        <v>382</v>
      </c>
      <c r="I128" s="11" t="s">
        <v>31</v>
      </c>
      <c r="J128" s="33" t="s">
        <v>84</v>
      </c>
      <c r="K128" s="11" t="s">
        <v>84</v>
      </c>
      <c r="L128" s="11" t="s">
        <v>356</v>
      </c>
      <c r="M128" s="11" t="s">
        <v>383</v>
      </c>
      <c r="N128" s="11" t="s">
        <v>251</v>
      </c>
      <c r="O128" s="33" t="s">
        <v>84</v>
      </c>
      <c r="P128" s="11" t="s">
        <v>384</v>
      </c>
      <c r="Q128" s="11" t="s">
        <v>384</v>
      </c>
      <c r="R128" s="11" t="s">
        <v>384</v>
      </c>
      <c r="S128" s="11" t="s">
        <v>384</v>
      </c>
      <c r="T128" s="11" t="s">
        <v>384</v>
      </c>
      <c r="U128" s="11" t="s">
        <v>384</v>
      </c>
    </row>
    <row r="129" spans="1:21" ht="15" hidden="1" customHeight="1" x14ac:dyDescent="0.3">
      <c r="A129" s="12" t="s">
        <v>225</v>
      </c>
      <c r="B129" s="10" t="s">
        <v>226</v>
      </c>
      <c r="C129" s="11" t="s">
        <v>36</v>
      </c>
      <c r="D129" s="10" t="s">
        <v>385</v>
      </c>
      <c r="E129" s="11" t="s">
        <v>24</v>
      </c>
      <c r="F129" s="11" t="s">
        <v>25</v>
      </c>
      <c r="G129" s="10" t="s">
        <v>386</v>
      </c>
      <c r="H129" s="10" t="s">
        <v>387</v>
      </c>
      <c r="I129" s="11" t="s">
        <v>31</v>
      </c>
      <c r="J129" s="33"/>
      <c r="K129" s="11"/>
      <c r="L129" s="11"/>
      <c r="M129" s="11"/>
      <c r="N129" s="11" t="s">
        <v>251</v>
      </c>
      <c r="O129" s="33"/>
      <c r="P129" s="11"/>
      <c r="Q129" s="11"/>
      <c r="R129" s="11"/>
      <c r="S129" s="11" t="s">
        <v>279</v>
      </c>
      <c r="T129" s="11" t="s">
        <v>279</v>
      </c>
      <c r="U129" s="11" t="s">
        <v>279</v>
      </c>
    </row>
    <row r="130" spans="1:21" ht="15" hidden="1" customHeight="1" x14ac:dyDescent="0.3">
      <c r="A130" s="12" t="s">
        <v>225</v>
      </c>
      <c r="B130" s="10" t="s">
        <v>226</v>
      </c>
      <c r="C130" s="11" t="s">
        <v>36</v>
      </c>
      <c r="D130" s="10" t="s">
        <v>385</v>
      </c>
      <c r="E130" s="11" t="s">
        <v>24</v>
      </c>
      <c r="F130" s="11" t="s">
        <v>25</v>
      </c>
      <c r="G130" s="10" t="s">
        <v>388</v>
      </c>
      <c r="H130" s="10" t="s">
        <v>389</v>
      </c>
      <c r="I130" s="11" t="s">
        <v>31</v>
      </c>
      <c r="J130" s="33"/>
      <c r="K130" s="11"/>
      <c r="L130" s="11"/>
      <c r="M130" s="11"/>
      <c r="N130" s="11" t="s">
        <v>251</v>
      </c>
      <c r="O130" s="33"/>
      <c r="P130" s="11"/>
      <c r="Q130" s="11"/>
      <c r="R130" s="11"/>
      <c r="S130" s="11" t="s">
        <v>279</v>
      </c>
      <c r="T130" s="11" t="s">
        <v>279</v>
      </c>
      <c r="U130" s="11" t="s">
        <v>279</v>
      </c>
    </row>
    <row r="131" spans="1:21" ht="15" hidden="1" customHeight="1" x14ac:dyDescent="0.3">
      <c r="A131" s="12" t="s">
        <v>225</v>
      </c>
      <c r="B131" s="10" t="s">
        <v>226</v>
      </c>
      <c r="C131" s="11" t="s">
        <v>36</v>
      </c>
      <c r="D131" s="10" t="s">
        <v>390</v>
      </c>
      <c r="E131" s="11" t="s">
        <v>24</v>
      </c>
      <c r="F131" s="11" t="s">
        <v>25</v>
      </c>
      <c r="G131" s="10" t="s">
        <v>391</v>
      </c>
      <c r="H131" s="10" t="s">
        <v>392</v>
      </c>
      <c r="I131" s="11" t="s">
        <v>31</v>
      </c>
      <c r="J131" s="33" t="s">
        <v>303</v>
      </c>
      <c r="K131" s="11" t="s">
        <v>309</v>
      </c>
      <c r="L131" s="11" t="s">
        <v>393</v>
      </c>
      <c r="M131" s="11" t="s">
        <v>384</v>
      </c>
      <c r="N131" s="11" t="s">
        <v>251</v>
      </c>
      <c r="O131" s="33" t="s">
        <v>303</v>
      </c>
      <c r="P131" s="11" t="s">
        <v>384</v>
      </c>
      <c r="Q131" s="11" t="s">
        <v>384</v>
      </c>
      <c r="R131" s="11" t="s">
        <v>356</v>
      </c>
      <c r="S131" s="11" t="s">
        <v>303</v>
      </c>
      <c r="T131" s="11" t="s">
        <v>303</v>
      </c>
      <c r="U131" s="11" t="s">
        <v>303</v>
      </c>
    </row>
    <row r="132" spans="1:21" ht="15" hidden="1" customHeight="1" x14ac:dyDescent="0.3">
      <c r="A132" s="12" t="s">
        <v>225</v>
      </c>
      <c r="B132" s="10" t="s">
        <v>226</v>
      </c>
      <c r="C132" s="11" t="s">
        <v>36</v>
      </c>
      <c r="D132" s="10" t="s">
        <v>390</v>
      </c>
      <c r="E132" s="11" t="s">
        <v>24</v>
      </c>
      <c r="F132" s="11" t="s">
        <v>25</v>
      </c>
      <c r="G132" s="10" t="s">
        <v>394</v>
      </c>
      <c r="H132" s="10" t="s">
        <v>395</v>
      </c>
      <c r="I132" s="11" t="s">
        <v>31</v>
      </c>
      <c r="J132" s="33" t="s">
        <v>322</v>
      </c>
      <c r="K132" s="11" t="s">
        <v>84</v>
      </c>
      <c r="L132" s="11" t="s">
        <v>303</v>
      </c>
      <c r="M132" s="11" t="s">
        <v>322</v>
      </c>
      <c r="N132" s="11" t="s">
        <v>251</v>
      </c>
      <c r="O132" s="33" t="s">
        <v>322</v>
      </c>
      <c r="P132" s="11" t="s">
        <v>322</v>
      </c>
      <c r="Q132" s="11" t="s">
        <v>322</v>
      </c>
      <c r="R132" s="11" t="s">
        <v>322</v>
      </c>
      <c r="S132" s="11" t="s">
        <v>322</v>
      </c>
      <c r="T132" s="11" t="s">
        <v>322</v>
      </c>
      <c r="U132" s="11" t="s">
        <v>322</v>
      </c>
    </row>
    <row r="133" spans="1:21" ht="15" hidden="1" customHeight="1" x14ac:dyDescent="0.3">
      <c r="A133" s="12" t="s">
        <v>225</v>
      </c>
      <c r="B133" s="10" t="s">
        <v>226</v>
      </c>
      <c r="C133" s="11" t="s">
        <v>36</v>
      </c>
      <c r="D133" s="10" t="s">
        <v>390</v>
      </c>
      <c r="E133" s="11" t="s">
        <v>24</v>
      </c>
      <c r="F133" s="11" t="s">
        <v>25</v>
      </c>
      <c r="G133" s="10" t="s">
        <v>396</v>
      </c>
      <c r="H133" s="10" t="s">
        <v>397</v>
      </c>
      <c r="I133" s="11" t="s">
        <v>31</v>
      </c>
      <c r="J133" s="33" t="s">
        <v>252</v>
      </c>
      <c r="K133" s="11" t="s">
        <v>42</v>
      </c>
      <c r="L133" s="11" t="s">
        <v>252</v>
      </c>
      <c r="M133" s="11" t="s">
        <v>252</v>
      </c>
      <c r="N133" s="11" t="s">
        <v>251</v>
      </c>
      <c r="O133" s="33" t="s">
        <v>309</v>
      </c>
      <c r="P133" s="11" t="s">
        <v>252</v>
      </c>
      <c r="Q133" s="11" t="s">
        <v>252</v>
      </c>
      <c r="R133" s="11" t="s">
        <v>252</v>
      </c>
      <c r="S133" s="11" t="s">
        <v>252</v>
      </c>
      <c r="T133" s="11" t="s">
        <v>252</v>
      </c>
      <c r="U133" s="11" t="s">
        <v>252</v>
      </c>
    </row>
    <row r="134" spans="1:21" ht="15" hidden="1" customHeight="1" x14ac:dyDescent="0.3">
      <c r="A134" s="12" t="s">
        <v>225</v>
      </c>
      <c r="B134" s="10" t="s">
        <v>226</v>
      </c>
      <c r="C134" s="11" t="s">
        <v>36</v>
      </c>
      <c r="D134" s="10" t="s">
        <v>390</v>
      </c>
      <c r="E134" s="11" t="s">
        <v>24</v>
      </c>
      <c r="F134" s="11" t="s">
        <v>25</v>
      </c>
      <c r="G134" s="10" t="s">
        <v>398</v>
      </c>
      <c r="H134" s="10" t="s">
        <v>399</v>
      </c>
      <c r="I134" s="11" t="s">
        <v>31</v>
      </c>
      <c r="J134" s="33"/>
      <c r="K134" s="11"/>
      <c r="L134" s="11"/>
      <c r="M134" s="11"/>
      <c r="N134" s="11" t="s">
        <v>400</v>
      </c>
      <c r="O134" s="33"/>
      <c r="P134" s="11"/>
      <c r="Q134" s="11"/>
      <c r="R134" s="11"/>
      <c r="S134" s="11" t="s">
        <v>401</v>
      </c>
      <c r="T134" s="11" t="s">
        <v>402</v>
      </c>
      <c r="U134" s="11" t="s">
        <v>401</v>
      </c>
    </row>
    <row r="135" spans="1:21" ht="15" hidden="1" customHeight="1" x14ac:dyDescent="0.3">
      <c r="A135" s="12" t="s">
        <v>225</v>
      </c>
      <c r="B135" s="10" t="s">
        <v>226</v>
      </c>
      <c r="C135" s="11" t="s">
        <v>36</v>
      </c>
      <c r="D135" s="10" t="s">
        <v>390</v>
      </c>
      <c r="E135" s="11" t="s">
        <v>24</v>
      </c>
      <c r="F135" s="11" t="s">
        <v>25</v>
      </c>
      <c r="G135" s="10" t="s">
        <v>403</v>
      </c>
      <c r="H135" s="10" t="s">
        <v>403</v>
      </c>
      <c r="I135" s="11" t="s">
        <v>31</v>
      </c>
      <c r="J135" s="33" t="s">
        <v>404</v>
      </c>
      <c r="K135" s="11" t="s">
        <v>404</v>
      </c>
      <c r="L135" s="11" t="s">
        <v>270</v>
      </c>
      <c r="M135" s="11" t="s">
        <v>405</v>
      </c>
      <c r="N135" s="11" t="s">
        <v>251</v>
      </c>
      <c r="O135" s="33" t="s">
        <v>270</v>
      </c>
      <c r="P135" s="11" t="s">
        <v>270</v>
      </c>
      <c r="Q135" s="11" t="s">
        <v>406</v>
      </c>
      <c r="R135" s="11" t="s">
        <v>406</v>
      </c>
      <c r="S135" s="11" t="s">
        <v>270</v>
      </c>
      <c r="T135" s="11" t="s">
        <v>270</v>
      </c>
      <c r="U135" s="11" t="s">
        <v>270</v>
      </c>
    </row>
    <row r="136" spans="1:21" ht="15" hidden="1" customHeight="1" x14ac:dyDescent="0.3">
      <c r="A136" s="12" t="s">
        <v>225</v>
      </c>
      <c r="B136" s="10" t="s">
        <v>226</v>
      </c>
      <c r="C136" s="11" t="s">
        <v>36</v>
      </c>
      <c r="D136" s="10" t="s">
        <v>390</v>
      </c>
      <c r="E136" s="11" t="s">
        <v>24</v>
      </c>
      <c r="F136" s="11" t="s">
        <v>25</v>
      </c>
      <c r="G136" s="10" t="s">
        <v>407</v>
      </c>
      <c r="H136" s="10" t="s">
        <v>408</v>
      </c>
      <c r="I136" s="11" t="s">
        <v>31</v>
      </c>
      <c r="J136" s="33"/>
      <c r="K136" s="11"/>
      <c r="L136" s="11"/>
      <c r="M136" s="11"/>
      <c r="N136" s="11" t="s">
        <v>251</v>
      </c>
      <c r="O136" s="33"/>
      <c r="P136" s="11"/>
      <c r="Q136" s="11"/>
      <c r="R136" s="11"/>
      <c r="S136" s="11" t="s">
        <v>289</v>
      </c>
      <c r="T136" s="11" t="s">
        <v>289</v>
      </c>
      <c r="U136" s="11" t="s">
        <v>289</v>
      </c>
    </row>
    <row r="137" spans="1:21" ht="15" hidden="1" customHeight="1" thickBot="1" x14ac:dyDescent="0.35">
      <c r="A137" s="12" t="s">
        <v>225</v>
      </c>
      <c r="B137" s="14" t="s">
        <v>226</v>
      </c>
      <c r="C137" s="13" t="s">
        <v>36</v>
      </c>
      <c r="D137" s="14" t="s">
        <v>390</v>
      </c>
      <c r="E137" s="13" t="s">
        <v>24</v>
      </c>
      <c r="F137" s="13" t="s">
        <v>25</v>
      </c>
      <c r="G137" s="14" t="s">
        <v>409</v>
      </c>
      <c r="H137" s="14" t="s">
        <v>410</v>
      </c>
      <c r="I137" s="13" t="s">
        <v>31</v>
      </c>
      <c r="J137" s="15"/>
      <c r="K137" s="13"/>
      <c r="L137" s="13"/>
      <c r="M137" s="13"/>
      <c r="N137" s="13" t="s">
        <v>411</v>
      </c>
      <c r="O137" s="15"/>
      <c r="P137" s="13"/>
      <c r="Q137" s="13"/>
      <c r="R137" s="13"/>
      <c r="S137" s="13" t="s">
        <v>270</v>
      </c>
      <c r="T137" s="13" t="s">
        <v>270</v>
      </c>
      <c r="U137" s="13" t="s">
        <v>270</v>
      </c>
    </row>
    <row r="138" spans="1:21" ht="15" hidden="1" customHeight="1" x14ac:dyDescent="0.3">
      <c r="A138" s="12" t="s">
        <v>225</v>
      </c>
      <c r="B138" s="3" t="s">
        <v>53</v>
      </c>
      <c r="C138" s="16" t="s">
        <v>53</v>
      </c>
      <c r="D138" s="3" t="s">
        <v>412</v>
      </c>
      <c r="E138" s="16" t="s">
        <v>54</v>
      </c>
      <c r="F138" s="16" t="s">
        <v>55</v>
      </c>
      <c r="G138" s="3" t="s">
        <v>413</v>
      </c>
      <c r="H138" s="2" t="s">
        <v>414</v>
      </c>
      <c r="I138" s="16" t="s">
        <v>31</v>
      </c>
      <c r="J138" s="45"/>
      <c r="K138" s="16"/>
      <c r="L138" s="16"/>
      <c r="M138" s="16"/>
      <c r="N138" s="17">
        <v>0</v>
      </c>
      <c r="O138" s="18"/>
      <c r="P138" s="17"/>
      <c r="Q138" s="17"/>
      <c r="R138" s="17"/>
      <c r="S138" s="17">
        <v>2</v>
      </c>
      <c r="T138" s="17">
        <v>2</v>
      </c>
      <c r="U138" s="17">
        <v>2</v>
      </c>
    </row>
    <row r="139" spans="1:21" ht="15" hidden="1" customHeight="1" x14ac:dyDescent="0.3">
      <c r="A139" s="12" t="s">
        <v>225</v>
      </c>
      <c r="B139" s="3" t="s">
        <v>53</v>
      </c>
      <c r="C139" s="16" t="s">
        <v>53</v>
      </c>
      <c r="D139" s="3" t="s">
        <v>412</v>
      </c>
      <c r="E139" s="16" t="s">
        <v>54</v>
      </c>
      <c r="F139" s="16" t="s">
        <v>55</v>
      </c>
      <c r="G139" s="3" t="s">
        <v>415</v>
      </c>
      <c r="H139" s="2" t="s">
        <v>416</v>
      </c>
      <c r="I139" s="16" t="s">
        <v>31</v>
      </c>
      <c r="J139" s="19"/>
      <c r="K139" s="16"/>
      <c r="L139" s="16"/>
      <c r="M139" s="16"/>
      <c r="N139" s="17">
        <v>1</v>
      </c>
      <c r="O139" s="18"/>
      <c r="P139" s="17"/>
      <c r="Q139" s="17"/>
      <c r="R139" s="17"/>
      <c r="S139" s="17">
        <v>2</v>
      </c>
      <c r="T139" s="17">
        <v>2</v>
      </c>
      <c r="U139" s="17">
        <v>2</v>
      </c>
    </row>
    <row r="140" spans="1:21" ht="15" hidden="1" customHeight="1" x14ac:dyDescent="0.3">
      <c r="A140" s="12" t="s">
        <v>225</v>
      </c>
      <c r="B140" s="3" t="s">
        <v>53</v>
      </c>
      <c r="C140" s="16" t="s">
        <v>53</v>
      </c>
      <c r="D140" s="3" t="s">
        <v>412</v>
      </c>
      <c r="E140" s="16" t="s">
        <v>54</v>
      </c>
      <c r="F140" s="16" t="s">
        <v>71</v>
      </c>
      <c r="G140" s="3" t="s">
        <v>417</v>
      </c>
      <c r="H140" s="2" t="s">
        <v>418</v>
      </c>
      <c r="I140" s="16" t="s">
        <v>31</v>
      </c>
      <c r="J140" s="19">
        <v>6</v>
      </c>
      <c r="K140" s="16">
        <v>3</v>
      </c>
      <c r="L140" s="16">
        <v>4</v>
      </c>
      <c r="M140" s="16">
        <v>4</v>
      </c>
      <c r="N140" s="17">
        <v>11</v>
      </c>
      <c r="O140" s="18">
        <v>3</v>
      </c>
      <c r="P140" s="17">
        <v>3</v>
      </c>
      <c r="Q140" s="17">
        <v>3</v>
      </c>
      <c r="R140" s="17">
        <v>3</v>
      </c>
      <c r="S140" s="17">
        <v>5</v>
      </c>
      <c r="T140" s="17">
        <v>5</v>
      </c>
      <c r="U140" s="17">
        <v>5</v>
      </c>
    </row>
    <row r="141" spans="1:21" ht="15" hidden="1" customHeight="1" x14ac:dyDescent="0.3">
      <c r="A141" s="12" t="s">
        <v>225</v>
      </c>
      <c r="B141" s="3" t="s">
        <v>53</v>
      </c>
      <c r="C141" s="16" t="s">
        <v>53</v>
      </c>
      <c r="D141" s="3" t="s">
        <v>412</v>
      </c>
      <c r="E141" s="16" t="s">
        <v>54</v>
      </c>
      <c r="F141" s="16" t="s">
        <v>55</v>
      </c>
      <c r="G141" s="3" t="s">
        <v>419</v>
      </c>
      <c r="H141" s="2" t="s">
        <v>420</v>
      </c>
      <c r="I141" s="16" t="s">
        <v>31</v>
      </c>
      <c r="J141" s="19"/>
      <c r="K141" s="16"/>
      <c r="L141" s="16">
        <v>1</v>
      </c>
      <c r="M141" s="16">
        <v>4</v>
      </c>
      <c r="N141" s="17">
        <v>0</v>
      </c>
      <c r="O141" s="18"/>
      <c r="P141" s="17"/>
      <c r="Q141" s="17">
        <v>0</v>
      </c>
      <c r="R141" s="17">
        <v>2</v>
      </c>
      <c r="S141" s="17">
        <v>5</v>
      </c>
      <c r="T141" s="17">
        <v>5</v>
      </c>
      <c r="U141" s="17">
        <v>5</v>
      </c>
    </row>
    <row r="142" spans="1:21" ht="15" hidden="1" customHeight="1" x14ac:dyDescent="0.3">
      <c r="A142" s="12" t="s">
        <v>225</v>
      </c>
      <c r="B142" s="3" t="s">
        <v>53</v>
      </c>
      <c r="C142" s="16" t="s">
        <v>53</v>
      </c>
      <c r="D142" s="3" t="s">
        <v>412</v>
      </c>
      <c r="E142" s="16" t="s">
        <v>54</v>
      </c>
      <c r="F142" s="16" t="s">
        <v>55</v>
      </c>
      <c r="G142" s="3" t="s">
        <v>421</v>
      </c>
      <c r="H142" s="2" t="s">
        <v>422</v>
      </c>
      <c r="I142" s="16" t="s">
        <v>31</v>
      </c>
      <c r="J142" s="19">
        <v>8</v>
      </c>
      <c r="K142" s="16">
        <v>10</v>
      </c>
      <c r="L142" s="16">
        <v>8</v>
      </c>
      <c r="M142" s="16">
        <v>9</v>
      </c>
      <c r="N142" s="17">
        <v>2</v>
      </c>
      <c r="O142" s="18">
        <v>4</v>
      </c>
      <c r="P142" s="17">
        <v>5</v>
      </c>
      <c r="Q142" s="17">
        <v>6</v>
      </c>
      <c r="R142" s="17">
        <v>6</v>
      </c>
      <c r="S142" s="17">
        <v>5</v>
      </c>
      <c r="T142" s="17">
        <v>5</v>
      </c>
      <c r="U142" s="17">
        <v>5</v>
      </c>
    </row>
    <row r="143" spans="1:21" ht="15" hidden="1" customHeight="1" x14ac:dyDescent="0.3">
      <c r="A143" s="12" t="s">
        <v>225</v>
      </c>
      <c r="B143" s="3" t="s">
        <v>53</v>
      </c>
      <c r="C143" s="16" t="s">
        <v>53</v>
      </c>
      <c r="D143" s="3" t="s">
        <v>423</v>
      </c>
      <c r="E143" s="16" t="s">
        <v>54</v>
      </c>
      <c r="F143" s="16" t="s">
        <v>55</v>
      </c>
      <c r="G143" s="3" t="s">
        <v>424</v>
      </c>
      <c r="H143" s="2" t="s">
        <v>425</v>
      </c>
      <c r="I143" s="16" t="s">
        <v>31</v>
      </c>
      <c r="J143" s="19"/>
      <c r="K143" s="16"/>
      <c r="L143" s="16"/>
      <c r="M143" s="16"/>
      <c r="N143" s="17">
        <v>0</v>
      </c>
      <c r="O143" s="18"/>
      <c r="P143" s="17"/>
      <c r="Q143" s="17"/>
      <c r="R143" s="17"/>
      <c r="S143" s="17">
        <v>2</v>
      </c>
      <c r="T143" s="17">
        <v>2</v>
      </c>
      <c r="U143" s="17">
        <v>2</v>
      </c>
    </row>
    <row r="144" spans="1:21" ht="15" hidden="1" customHeight="1" x14ac:dyDescent="0.3">
      <c r="A144" s="12" t="s">
        <v>225</v>
      </c>
      <c r="B144" s="3" t="s">
        <v>53</v>
      </c>
      <c r="C144" s="16" t="s">
        <v>53</v>
      </c>
      <c r="D144" s="3" t="s">
        <v>423</v>
      </c>
      <c r="E144" s="16" t="s">
        <v>54</v>
      </c>
      <c r="F144" s="16" t="s">
        <v>55</v>
      </c>
      <c r="G144" s="3" t="s">
        <v>426</v>
      </c>
      <c r="H144" s="2" t="s">
        <v>427</v>
      </c>
      <c r="I144" s="16" t="s">
        <v>31</v>
      </c>
      <c r="J144" s="19"/>
      <c r="K144" s="16"/>
      <c r="L144" s="16"/>
      <c r="M144" s="16"/>
      <c r="N144" s="17">
        <v>0</v>
      </c>
      <c r="O144" s="18"/>
      <c r="P144" s="17"/>
      <c r="Q144" s="17"/>
      <c r="R144" s="17"/>
      <c r="S144" s="17">
        <v>1</v>
      </c>
      <c r="T144" s="17">
        <v>1</v>
      </c>
      <c r="U144" s="17">
        <v>1</v>
      </c>
    </row>
    <row r="145" spans="1:21" ht="15" hidden="1" customHeight="1" x14ac:dyDescent="0.3">
      <c r="A145" s="12" t="s">
        <v>225</v>
      </c>
      <c r="B145" s="3" t="s">
        <v>53</v>
      </c>
      <c r="C145" s="16" t="s">
        <v>53</v>
      </c>
      <c r="D145" s="3" t="s">
        <v>428</v>
      </c>
      <c r="E145" s="16" t="s">
        <v>24</v>
      </c>
      <c r="F145" s="16" t="s">
        <v>25</v>
      </c>
      <c r="G145" s="3" t="s">
        <v>429</v>
      </c>
      <c r="H145" s="2" t="s">
        <v>430</v>
      </c>
      <c r="I145" s="16" t="s">
        <v>31</v>
      </c>
      <c r="J145" s="19"/>
      <c r="K145" s="16"/>
      <c r="L145" s="16"/>
      <c r="M145" s="16"/>
      <c r="N145" s="17">
        <v>0</v>
      </c>
      <c r="O145" s="18"/>
      <c r="P145" s="17"/>
      <c r="Q145" s="17"/>
      <c r="R145" s="17"/>
      <c r="S145" s="17">
        <v>0</v>
      </c>
      <c r="T145" s="17">
        <v>0</v>
      </c>
      <c r="U145" s="17">
        <v>0</v>
      </c>
    </row>
    <row r="146" spans="1:21" ht="15" hidden="1" customHeight="1" thickBot="1" x14ac:dyDescent="0.35">
      <c r="A146" s="12" t="s">
        <v>225</v>
      </c>
      <c r="B146" s="20" t="s">
        <v>53</v>
      </c>
      <c r="C146" s="21" t="s">
        <v>53</v>
      </c>
      <c r="D146" s="20" t="s">
        <v>428</v>
      </c>
      <c r="E146" s="21" t="s">
        <v>54</v>
      </c>
      <c r="F146" s="21" t="s">
        <v>55</v>
      </c>
      <c r="G146" s="20" t="s">
        <v>431</v>
      </c>
      <c r="H146" s="22" t="s">
        <v>432</v>
      </c>
      <c r="I146" s="21" t="s">
        <v>31</v>
      </c>
      <c r="J146" s="23"/>
      <c r="K146" s="21"/>
      <c r="L146" s="21"/>
      <c r="M146" s="21"/>
      <c r="N146" s="24">
        <v>1</v>
      </c>
      <c r="O146" s="25"/>
      <c r="P146" s="24"/>
      <c r="Q146" s="24"/>
      <c r="R146" s="24"/>
      <c r="S146" s="24">
        <v>2</v>
      </c>
      <c r="T146" s="24">
        <v>2</v>
      </c>
      <c r="U146" s="24">
        <v>2</v>
      </c>
    </row>
    <row r="147" spans="1:21" ht="15" hidden="1" customHeight="1" x14ac:dyDescent="0.3">
      <c r="A147" s="12" t="s">
        <v>225</v>
      </c>
      <c r="B147" s="46" t="s">
        <v>58</v>
      </c>
      <c r="C147" s="12" t="s">
        <v>58</v>
      </c>
      <c r="D147" s="3" t="s">
        <v>412</v>
      </c>
      <c r="E147" s="16" t="s">
        <v>59</v>
      </c>
      <c r="F147" s="16" t="s">
        <v>71</v>
      </c>
      <c r="G147" s="3" t="s">
        <v>415</v>
      </c>
      <c r="H147" s="2" t="s">
        <v>433</v>
      </c>
      <c r="I147" s="16" t="s">
        <v>31</v>
      </c>
      <c r="J147" s="19"/>
      <c r="K147" s="16"/>
      <c r="L147" s="16"/>
      <c r="M147" s="16"/>
      <c r="N147" s="16">
        <v>6</v>
      </c>
      <c r="O147" s="19"/>
      <c r="P147" s="16"/>
      <c r="Q147" s="16"/>
      <c r="R147" s="16"/>
      <c r="S147" s="16">
        <v>30</v>
      </c>
      <c r="T147" s="16">
        <v>35</v>
      </c>
      <c r="U147" s="16">
        <v>30</v>
      </c>
    </row>
    <row r="148" spans="1:21" ht="15" hidden="1" customHeight="1" x14ac:dyDescent="0.3">
      <c r="A148" s="12" t="s">
        <v>225</v>
      </c>
      <c r="B148" s="46" t="s">
        <v>58</v>
      </c>
      <c r="C148" s="12" t="s">
        <v>58</v>
      </c>
      <c r="D148" s="3" t="s">
        <v>412</v>
      </c>
      <c r="E148" s="16" t="s">
        <v>59</v>
      </c>
      <c r="F148" s="16" t="s">
        <v>71</v>
      </c>
      <c r="G148" s="3" t="s">
        <v>413</v>
      </c>
      <c r="H148" s="2" t="s">
        <v>434</v>
      </c>
      <c r="I148" s="16" t="s">
        <v>31</v>
      </c>
      <c r="J148" s="19"/>
      <c r="K148" s="16"/>
      <c r="L148" s="16"/>
      <c r="M148" s="16"/>
      <c r="N148" s="16">
        <v>4</v>
      </c>
      <c r="O148" s="19"/>
      <c r="P148" s="16"/>
      <c r="Q148" s="16"/>
      <c r="R148" s="16"/>
      <c r="S148" s="16">
        <v>7</v>
      </c>
      <c r="T148" s="16">
        <v>10</v>
      </c>
      <c r="U148" s="16">
        <v>8</v>
      </c>
    </row>
    <row r="149" spans="1:21" ht="15" hidden="1" customHeight="1" x14ac:dyDescent="0.3">
      <c r="A149" s="12" t="s">
        <v>225</v>
      </c>
      <c r="B149" s="46" t="s">
        <v>58</v>
      </c>
      <c r="C149" s="12" t="s">
        <v>58</v>
      </c>
      <c r="D149" s="3" t="s">
        <v>412</v>
      </c>
      <c r="E149" s="16" t="s">
        <v>59</v>
      </c>
      <c r="F149" s="16" t="s">
        <v>71</v>
      </c>
      <c r="G149" s="3" t="s">
        <v>417</v>
      </c>
      <c r="H149" s="2" t="s">
        <v>435</v>
      </c>
      <c r="I149" s="16" t="s">
        <v>31</v>
      </c>
      <c r="J149" s="19">
        <v>0</v>
      </c>
      <c r="K149" s="16">
        <v>4</v>
      </c>
      <c r="L149" s="16">
        <v>5</v>
      </c>
      <c r="M149" s="16">
        <v>3</v>
      </c>
      <c r="N149" s="16">
        <v>6</v>
      </c>
      <c r="O149" s="19"/>
      <c r="P149" s="16">
        <v>3</v>
      </c>
      <c r="Q149" s="16">
        <v>3</v>
      </c>
      <c r="R149" s="16">
        <v>3</v>
      </c>
      <c r="S149" s="16">
        <v>6</v>
      </c>
      <c r="T149" s="16">
        <v>6</v>
      </c>
      <c r="U149" s="16">
        <v>6</v>
      </c>
    </row>
    <row r="150" spans="1:21" ht="15" hidden="1" customHeight="1" x14ac:dyDescent="0.3">
      <c r="A150" s="12" t="s">
        <v>225</v>
      </c>
      <c r="B150" s="46" t="s">
        <v>58</v>
      </c>
      <c r="C150" s="12" t="s">
        <v>58</v>
      </c>
      <c r="D150" s="3" t="s">
        <v>412</v>
      </c>
      <c r="E150" s="16" t="s">
        <v>59</v>
      </c>
      <c r="F150" s="16" t="s">
        <v>71</v>
      </c>
      <c r="G150" s="3" t="s">
        <v>419</v>
      </c>
      <c r="H150" s="2" t="s">
        <v>436</v>
      </c>
      <c r="I150" s="16" t="s">
        <v>31</v>
      </c>
      <c r="J150" s="19"/>
      <c r="K150" s="16"/>
      <c r="L150" s="16"/>
      <c r="M150" s="16"/>
      <c r="N150" s="16">
        <v>4</v>
      </c>
      <c r="O150" s="19"/>
      <c r="P150" s="16"/>
      <c r="Q150" s="16"/>
      <c r="R150" s="16"/>
      <c r="S150" s="16">
        <v>12</v>
      </c>
      <c r="T150" s="16">
        <v>14</v>
      </c>
      <c r="U150" s="16">
        <v>14</v>
      </c>
    </row>
    <row r="151" spans="1:21" ht="15" hidden="1" customHeight="1" x14ac:dyDescent="0.3">
      <c r="A151" s="12" t="s">
        <v>225</v>
      </c>
      <c r="B151" s="46" t="s">
        <v>58</v>
      </c>
      <c r="C151" s="12" t="s">
        <v>58</v>
      </c>
      <c r="D151" s="3" t="s">
        <v>412</v>
      </c>
      <c r="E151" s="16" t="s">
        <v>59</v>
      </c>
      <c r="F151" s="16" t="s">
        <v>71</v>
      </c>
      <c r="G151" s="3" t="s">
        <v>421</v>
      </c>
      <c r="H151" s="2" t="s">
        <v>437</v>
      </c>
      <c r="I151" s="16" t="s">
        <v>31</v>
      </c>
      <c r="J151" s="19"/>
      <c r="K151" s="16"/>
      <c r="L151" s="16"/>
      <c r="M151" s="16"/>
      <c r="N151" s="16">
        <v>5</v>
      </c>
      <c r="O151" s="19"/>
      <c r="P151" s="16"/>
      <c r="Q151" s="16"/>
      <c r="R151" s="16"/>
      <c r="S151" s="16">
        <v>22</v>
      </c>
      <c r="T151" s="16">
        <v>22</v>
      </c>
      <c r="U151" s="16">
        <v>24</v>
      </c>
    </row>
    <row r="152" spans="1:21" ht="15" hidden="1" customHeight="1" x14ac:dyDescent="0.3">
      <c r="A152" s="12" t="s">
        <v>225</v>
      </c>
      <c r="B152" s="46" t="s">
        <v>58</v>
      </c>
      <c r="C152" s="12" t="s">
        <v>58</v>
      </c>
      <c r="D152" s="3" t="s">
        <v>423</v>
      </c>
      <c r="E152" s="16" t="s">
        <v>59</v>
      </c>
      <c r="F152" s="16" t="s">
        <v>71</v>
      </c>
      <c r="G152" s="3" t="s">
        <v>424</v>
      </c>
      <c r="H152" s="2" t="s">
        <v>73</v>
      </c>
      <c r="I152" s="16" t="s">
        <v>31</v>
      </c>
      <c r="J152" s="19"/>
      <c r="K152" s="16"/>
      <c r="L152" s="16"/>
      <c r="M152" s="16"/>
      <c r="N152" s="16">
        <v>2</v>
      </c>
      <c r="O152" s="19"/>
      <c r="P152" s="16"/>
      <c r="Q152" s="16"/>
      <c r="R152" s="16"/>
      <c r="S152" s="16">
        <v>3</v>
      </c>
      <c r="T152" s="16">
        <v>4</v>
      </c>
      <c r="U152" s="16">
        <v>4</v>
      </c>
    </row>
    <row r="153" spans="1:21" ht="15" hidden="1" customHeight="1" x14ac:dyDescent="0.3">
      <c r="A153" s="12" t="s">
        <v>225</v>
      </c>
      <c r="B153" s="46" t="s">
        <v>58</v>
      </c>
      <c r="C153" s="12" t="s">
        <v>58</v>
      </c>
      <c r="D153" s="3" t="s">
        <v>423</v>
      </c>
      <c r="E153" s="16" t="s">
        <v>59</v>
      </c>
      <c r="F153" s="16" t="s">
        <v>55</v>
      </c>
      <c r="G153" s="3" t="s">
        <v>426</v>
      </c>
      <c r="H153" s="2" t="s">
        <v>61</v>
      </c>
      <c r="I153" s="16" t="s">
        <v>31</v>
      </c>
      <c r="J153" s="19"/>
      <c r="K153" s="16"/>
      <c r="L153" s="16"/>
      <c r="M153" s="16"/>
      <c r="N153" s="16">
        <v>0</v>
      </c>
      <c r="O153" s="19"/>
      <c r="P153" s="16"/>
      <c r="Q153" s="16"/>
      <c r="R153" s="16"/>
      <c r="S153" s="16">
        <v>2</v>
      </c>
      <c r="T153" s="16">
        <v>2</v>
      </c>
      <c r="U153" s="16">
        <v>2</v>
      </c>
    </row>
    <row r="154" spans="1:21" ht="15" hidden="1" customHeight="1" x14ac:dyDescent="0.3">
      <c r="A154" s="12" t="s">
        <v>225</v>
      </c>
      <c r="B154" s="46" t="s">
        <v>58</v>
      </c>
      <c r="C154" s="12" t="s">
        <v>58</v>
      </c>
      <c r="D154" s="3" t="s">
        <v>423</v>
      </c>
      <c r="E154" s="16" t="s">
        <v>59</v>
      </c>
      <c r="F154" s="16" t="s">
        <v>71</v>
      </c>
      <c r="G154" s="3" t="s">
        <v>438</v>
      </c>
      <c r="H154" s="2" t="s">
        <v>439</v>
      </c>
      <c r="I154" s="16" t="s">
        <v>31</v>
      </c>
      <c r="J154" s="19" t="s">
        <v>84</v>
      </c>
      <c r="K154" s="16">
        <v>4</v>
      </c>
      <c r="L154" s="16">
        <v>4</v>
      </c>
      <c r="M154" s="16">
        <v>4</v>
      </c>
      <c r="N154" s="16">
        <v>2</v>
      </c>
      <c r="O154" s="19"/>
      <c r="P154" s="16">
        <v>3</v>
      </c>
      <c r="Q154" s="16">
        <v>4</v>
      </c>
      <c r="R154" s="16">
        <v>5</v>
      </c>
      <c r="S154" s="16">
        <v>3</v>
      </c>
      <c r="T154" s="16">
        <v>3</v>
      </c>
      <c r="U154" s="16">
        <v>4</v>
      </c>
    </row>
    <row r="155" spans="1:21" ht="15" hidden="1" customHeight="1" x14ac:dyDescent="0.3">
      <c r="A155" s="12" t="s">
        <v>225</v>
      </c>
      <c r="B155" s="46" t="s">
        <v>58</v>
      </c>
      <c r="C155" s="12" t="s">
        <v>58</v>
      </c>
      <c r="D155" s="3" t="s">
        <v>440</v>
      </c>
      <c r="E155" s="16" t="s">
        <v>59</v>
      </c>
      <c r="F155" s="16" t="s">
        <v>71</v>
      </c>
      <c r="G155" s="3" t="s">
        <v>441</v>
      </c>
      <c r="H155" s="2" t="s">
        <v>442</v>
      </c>
      <c r="I155" s="16" t="s">
        <v>31</v>
      </c>
      <c r="J155" s="19"/>
      <c r="K155" s="16"/>
      <c r="L155" s="16"/>
      <c r="M155" s="16"/>
      <c r="N155" s="16">
        <v>0</v>
      </c>
      <c r="O155" s="19"/>
      <c r="P155" s="16"/>
      <c r="Q155" s="16"/>
      <c r="R155" s="16"/>
      <c r="S155" s="16">
        <v>1200000</v>
      </c>
      <c r="T155" s="16">
        <v>2900000</v>
      </c>
      <c r="U155" s="16">
        <v>2200000</v>
      </c>
    </row>
    <row r="156" spans="1:21" ht="15" hidden="1" customHeight="1" x14ac:dyDescent="0.3">
      <c r="A156" s="12" t="s">
        <v>225</v>
      </c>
      <c r="B156" s="46" t="s">
        <v>58</v>
      </c>
      <c r="C156" s="12" t="s">
        <v>58</v>
      </c>
      <c r="D156" s="3" t="s">
        <v>440</v>
      </c>
      <c r="E156" s="16" t="s">
        <v>59</v>
      </c>
      <c r="F156" s="16" t="s">
        <v>71</v>
      </c>
      <c r="G156" s="3" t="s">
        <v>443</v>
      </c>
      <c r="H156" s="2" t="s">
        <v>444</v>
      </c>
      <c r="I156" s="16" t="s">
        <v>31</v>
      </c>
      <c r="J156" s="19"/>
      <c r="K156" s="16"/>
      <c r="L156" s="16"/>
      <c r="M156" s="16"/>
      <c r="N156" s="16">
        <v>1200000</v>
      </c>
      <c r="O156" s="19"/>
      <c r="P156" s="16"/>
      <c r="Q156" s="16"/>
      <c r="R156" s="16"/>
      <c r="S156" s="16">
        <v>2000000</v>
      </c>
      <c r="T156" s="16">
        <v>2100000</v>
      </c>
      <c r="U156" s="16">
        <v>2200000</v>
      </c>
    </row>
    <row r="157" spans="1:21" ht="15" hidden="1" customHeight="1" x14ac:dyDescent="0.3">
      <c r="A157" s="12" t="s">
        <v>225</v>
      </c>
      <c r="B157" s="46" t="s">
        <v>58</v>
      </c>
      <c r="C157" s="12" t="s">
        <v>58</v>
      </c>
      <c r="D157" s="3" t="s">
        <v>440</v>
      </c>
      <c r="E157" s="16" t="s">
        <v>59</v>
      </c>
      <c r="F157" s="16" t="s">
        <v>71</v>
      </c>
      <c r="G157" s="3" t="s">
        <v>445</v>
      </c>
      <c r="H157" s="2" t="s">
        <v>446</v>
      </c>
      <c r="I157" s="16" t="s">
        <v>31</v>
      </c>
      <c r="J157" s="19"/>
      <c r="K157" s="12"/>
      <c r="L157" s="16"/>
      <c r="M157" s="16"/>
      <c r="N157" s="16">
        <v>1</v>
      </c>
      <c r="O157" s="19"/>
      <c r="P157" s="16"/>
      <c r="Q157" s="16"/>
      <c r="R157" s="16"/>
      <c r="S157" s="16">
        <v>6</v>
      </c>
      <c r="T157" s="16">
        <v>8</v>
      </c>
      <c r="U157" s="16">
        <v>8</v>
      </c>
    </row>
    <row r="158" spans="1:21" ht="15" hidden="1" customHeight="1" x14ac:dyDescent="0.3">
      <c r="A158" s="12" t="s">
        <v>225</v>
      </c>
      <c r="B158" s="46" t="s">
        <v>58</v>
      </c>
      <c r="C158" s="12" t="s">
        <v>58</v>
      </c>
      <c r="D158" s="3" t="s">
        <v>447</v>
      </c>
      <c r="E158" s="16" t="s">
        <v>59</v>
      </c>
      <c r="F158" s="16" t="s">
        <v>55</v>
      </c>
      <c r="G158" s="3" t="s">
        <v>448</v>
      </c>
      <c r="H158" s="2" t="s">
        <v>449</v>
      </c>
      <c r="I158" s="16" t="s">
        <v>31</v>
      </c>
      <c r="J158" s="19"/>
      <c r="K158" s="16"/>
      <c r="L158" s="16"/>
      <c r="M158" s="16"/>
      <c r="N158" s="16">
        <v>5</v>
      </c>
      <c r="O158" s="19"/>
      <c r="P158" s="16"/>
      <c r="Q158" s="16"/>
      <c r="R158" s="16"/>
      <c r="S158" s="16">
        <v>17</v>
      </c>
      <c r="T158" s="16">
        <v>18</v>
      </c>
      <c r="U158" s="16">
        <v>18</v>
      </c>
    </row>
    <row r="159" spans="1:21" ht="15" hidden="1" customHeight="1" x14ac:dyDescent="0.3">
      <c r="A159" s="12" t="s">
        <v>225</v>
      </c>
      <c r="B159" s="46" t="s">
        <v>58</v>
      </c>
      <c r="C159" s="12" t="s">
        <v>58</v>
      </c>
      <c r="D159" s="3" t="s">
        <v>447</v>
      </c>
      <c r="E159" s="16" t="s">
        <v>59</v>
      </c>
      <c r="F159" s="16" t="s">
        <v>55</v>
      </c>
      <c r="G159" s="3" t="s">
        <v>450</v>
      </c>
      <c r="H159" s="2" t="s">
        <v>451</v>
      </c>
      <c r="I159" s="16" t="s">
        <v>31</v>
      </c>
      <c r="J159" s="19"/>
      <c r="K159" s="16"/>
      <c r="L159" s="16"/>
      <c r="M159" s="16"/>
      <c r="N159" s="16">
        <v>340</v>
      </c>
      <c r="O159" s="19"/>
      <c r="P159" s="16"/>
      <c r="Q159" s="16"/>
      <c r="R159" s="16"/>
      <c r="S159" s="16">
        <v>101350</v>
      </c>
      <c r="T159" s="16">
        <v>103400</v>
      </c>
      <c r="U159" s="16">
        <v>101400</v>
      </c>
    </row>
    <row r="160" spans="1:21" ht="15" hidden="1" customHeight="1" x14ac:dyDescent="0.3">
      <c r="A160" s="12" t="s">
        <v>225</v>
      </c>
      <c r="B160" s="46" t="s">
        <v>58</v>
      </c>
      <c r="C160" s="12" t="s">
        <v>58</v>
      </c>
      <c r="D160" s="3" t="s">
        <v>452</v>
      </c>
      <c r="E160" s="16" t="s">
        <v>59</v>
      </c>
      <c r="F160" s="16" t="s">
        <v>71</v>
      </c>
      <c r="G160" s="3" t="s">
        <v>453</v>
      </c>
      <c r="H160" s="2" t="s">
        <v>454</v>
      </c>
      <c r="I160" s="16" t="s">
        <v>31</v>
      </c>
      <c r="J160" s="19" t="s">
        <v>84</v>
      </c>
      <c r="K160" s="16">
        <v>4</v>
      </c>
      <c r="L160" s="16">
        <v>9</v>
      </c>
      <c r="M160" s="16">
        <v>14</v>
      </c>
      <c r="N160" s="16">
        <v>0</v>
      </c>
      <c r="O160" s="19"/>
      <c r="P160" s="16">
        <v>1</v>
      </c>
      <c r="Q160" s="16">
        <v>1</v>
      </c>
      <c r="R160" s="16">
        <v>1</v>
      </c>
      <c r="S160" s="16">
        <v>5</v>
      </c>
      <c r="T160" s="16">
        <v>5</v>
      </c>
      <c r="U160" s="16">
        <v>5</v>
      </c>
    </row>
    <row r="161" spans="1:21" ht="15" hidden="1" customHeight="1" x14ac:dyDescent="0.3">
      <c r="A161" s="12" t="s">
        <v>225</v>
      </c>
      <c r="B161" s="46" t="s">
        <v>58</v>
      </c>
      <c r="C161" s="12" t="s">
        <v>58</v>
      </c>
      <c r="D161" s="3" t="s">
        <v>452</v>
      </c>
      <c r="E161" s="16" t="s">
        <v>59</v>
      </c>
      <c r="F161" s="16" t="s">
        <v>71</v>
      </c>
      <c r="G161" s="3" t="s">
        <v>431</v>
      </c>
      <c r="H161" s="2" t="s">
        <v>455</v>
      </c>
      <c r="I161" s="16" t="s">
        <v>31</v>
      </c>
      <c r="J161" s="19"/>
      <c r="K161" s="16"/>
      <c r="L161" s="16"/>
      <c r="M161" s="16"/>
      <c r="N161" s="16">
        <v>3</v>
      </c>
      <c r="O161" s="19"/>
      <c r="P161" s="16"/>
      <c r="Q161" s="16"/>
      <c r="R161" s="16"/>
      <c r="S161" s="16">
        <v>12</v>
      </c>
      <c r="T161" s="16">
        <v>14</v>
      </c>
      <c r="U161" s="16">
        <v>14</v>
      </c>
    </row>
    <row r="162" spans="1:21" ht="15" hidden="1" customHeight="1" x14ac:dyDescent="0.3">
      <c r="A162" s="12" t="s">
        <v>225</v>
      </c>
      <c r="B162" s="46" t="s">
        <v>58</v>
      </c>
      <c r="C162" s="12" t="s">
        <v>58</v>
      </c>
      <c r="D162" s="3" t="s">
        <v>452</v>
      </c>
      <c r="E162" s="16" t="s">
        <v>59</v>
      </c>
      <c r="F162" s="16" t="s">
        <v>71</v>
      </c>
      <c r="G162" s="3" t="s">
        <v>456</v>
      </c>
      <c r="H162" s="2" t="s">
        <v>457</v>
      </c>
      <c r="I162" s="16" t="s">
        <v>31</v>
      </c>
      <c r="J162" s="19"/>
      <c r="K162" s="16"/>
      <c r="L162" s="16"/>
      <c r="M162" s="16"/>
      <c r="N162" s="16">
        <v>4</v>
      </c>
      <c r="O162" s="19"/>
      <c r="P162" s="16"/>
      <c r="Q162" s="16"/>
      <c r="R162" s="16"/>
      <c r="S162" s="16">
        <v>5</v>
      </c>
      <c r="T162" s="16">
        <v>6</v>
      </c>
      <c r="U162" s="16">
        <v>7</v>
      </c>
    </row>
    <row r="163" spans="1:21" ht="15" hidden="1" customHeight="1" x14ac:dyDescent="0.3">
      <c r="A163" s="12" t="s">
        <v>225</v>
      </c>
      <c r="B163" s="46" t="s">
        <v>58</v>
      </c>
      <c r="C163" s="12" t="s">
        <v>58</v>
      </c>
      <c r="D163" s="3" t="s">
        <v>428</v>
      </c>
      <c r="E163" s="16" t="s">
        <v>59</v>
      </c>
      <c r="F163" s="16" t="s">
        <v>55</v>
      </c>
      <c r="G163" s="3" t="s">
        <v>458</v>
      </c>
      <c r="H163" s="2" t="s">
        <v>459</v>
      </c>
      <c r="I163" s="16" t="s">
        <v>31</v>
      </c>
      <c r="J163" s="19"/>
      <c r="K163" s="16"/>
      <c r="L163" s="16"/>
      <c r="M163" s="16"/>
      <c r="N163" s="16">
        <v>100</v>
      </c>
      <c r="O163" s="19"/>
      <c r="P163" s="16"/>
      <c r="Q163" s="16"/>
      <c r="R163" s="16"/>
      <c r="S163" s="16">
        <v>600</v>
      </c>
      <c r="T163" s="16">
        <v>1000</v>
      </c>
      <c r="U163" s="16">
        <v>700</v>
      </c>
    </row>
    <row r="164" spans="1:21" ht="15" hidden="1" customHeight="1" x14ac:dyDescent="0.3">
      <c r="A164" s="12" t="s">
        <v>225</v>
      </c>
      <c r="B164" s="46" t="s">
        <v>58</v>
      </c>
      <c r="C164" s="12" t="s">
        <v>58</v>
      </c>
      <c r="D164" s="3" t="s">
        <v>428</v>
      </c>
      <c r="E164" s="16" t="s">
        <v>59</v>
      </c>
      <c r="F164" s="16" t="s">
        <v>71</v>
      </c>
      <c r="G164" s="3" t="s">
        <v>460</v>
      </c>
      <c r="H164" s="2" t="s">
        <v>461</v>
      </c>
      <c r="I164" s="16" t="s">
        <v>31</v>
      </c>
      <c r="J164" s="19"/>
      <c r="K164" s="16"/>
      <c r="L164" s="16"/>
      <c r="M164" s="16"/>
      <c r="N164" s="16">
        <v>0</v>
      </c>
      <c r="O164" s="19"/>
      <c r="P164" s="16"/>
      <c r="Q164" s="16"/>
      <c r="R164" s="16"/>
      <c r="S164" s="16">
        <v>0</v>
      </c>
      <c r="T164" s="16">
        <v>450</v>
      </c>
      <c r="U164" s="16">
        <v>0</v>
      </c>
    </row>
    <row r="165" spans="1:21" ht="15" hidden="1" customHeight="1" x14ac:dyDescent="0.3">
      <c r="A165" s="12" t="s">
        <v>225</v>
      </c>
      <c r="B165" s="46" t="s">
        <v>58</v>
      </c>
      <c r="C165" s="12" t="s">
        <v>58</v>
      </c>
      <c r="D165" s="3" t="s">
        <v>462</v>
      </c>
      <c r="E165" s="16" t="s">
        <v>59</v>
      </c>
      <c r="F165" s="16" t="s">
        <v>55</v>
      </c>
      <c r="G165" s="3" t="s">
        <v>463</v>
      </c>
      <c r="H165" s="2" t="s">
        <v>464</v>
      </c>
      <c r="I165" s="16" t="s">
        <v>31</v>
      </c>
      <c r="J165" s="19"/>
      <c r="K165" s="16"/>
      <c r="L165" s="16"/>
      <c r="M165" s="16"/>
      <c r="N165" s="16">
        <v>0</v>
      </c>
      <c r="O165" s="19"/>
      <c r="P165" s="16"/>
      <c r="Q165" s="16"/>
      <c r="R165" s="16"/>
      <c r="S165" s="16">
        <v>0</v>
      </c>
      <c r="T165" s="16">
        <v>92</v>
      </c>
      <c r="U165" s="16">
        <v>0</v>
      </c>
    </row>
    <row r="166" spans="1:21" ht="15" hidden="1" customHeight="1" x14ac:dyDescent="0.3">
      <c r="A166" s="12" t="s">
        <v>225</v>
      </c>
      <c r="B166" s="46" t="s">
        <v>58</v>
      </c>
      <c r="C166" s="12" t="s">
        <v>58</v>
      </c>
      <c r="D166" s="3" t="s">
        <v>462</v>
      </c>
      <c r="E166" s="16" t="s">
        <v>59</v>
      </c>
      <c r="F166" s="16" t="s">
        <v>55</v>
      </c>
      <c r="G166" s="3" t="s">
        <v>465</v>
      </c>
      <c r="H166" s="2" t="s">
        <v>466</v>
      </c>
      <c r="I166" s="16" t="s">
        <v>31</v>
      </c>
      <c r="J166" s="19"/>
      <c r="K166" s="16"/>
      <c r="L166" s="16"/>
      <c r="M166" s="16"/>
      <c r="N166" s="16">
        <v>0</v>
      </c>
      <c r="O166" s="19"/>
      <c r="P166" s="16"/>
      <c r="Q166" s="16"/>
      <c r="R166" s="16"/>
      <c r="S166" s="16">
        <v>0</v>
      </c>
      <c r="T166" s="16">
        <v>25</v>
      </c>
      <c r="U166" s="16">
        <v>0</v>
      </c>
    </row>
    <row r="167" spans="1:21" ht="15" hidden="1" customHeight="1" x14ac:dyDescent="0.3">
      <c r="A167" s="12" t="s">
        <v>225</v>
      </c>
      <c r="B167" s="46" t="s">
        <v>58</v>
      </c>
      <c r="C167" s="12" t="s">
        <v>58</v>
      </c>
      <c r="D167" s="3" t="s">
        <v>462</v>
      </c>
      <c r="E167" s="16" t="s">
        <v>59</v>
      </c>
      <c r="F167" s="16" t="s">
        <v>55</v>
      </c>
      <c r="G167" s="3" t="s">
        <v>467</v>
      </c>
      <c r="H167" s="2" t="s">
        <v>468</v>
      </c>
      <c r="I167" s="16" t="s">
        <v>31</v>
      </c>
      <c r="J167" s="19"/>
      <c r="K167" s="16"/>
      <c r="L167" s="16"/>
      <c r="M167" s="16"/>
      <c r="N167" s="16">
        <v>0</v>
      </c>
      <c r="O167" s="19"/>
      <c r="P167" s="16"/>
      <c r="Q167" s="16"/>
      <c r="R167" s="16"/>
      <c r="S167" s="16">
        <v>0</v>
      </c>
      <c r="T167" s="16">
        <v>78</v>
      </c>
      <c r="U167" s="16">
        <v>0</v>
      </c>
    </row>
    <row r="168" spans="1:21" ht="15" hidden="1" customHeight="1" x14ac:dyDescent="0.3">
      <c r="A168" s="12" t="s">
        <v>225</v>
      </c>
      <c r="B168" s="46" t="s">
        <v>58</v>
      </c>
      <c r="C168" s="12" t="s">
        <v>58</v>
      </c>
      <c r="D168" s="3" t="s">
        <v>469</v>
      </c>
      <c r="E168" s="16" t="s">
        <v>59</v>
      </c>
      <c r="F168" s="16" t="s">
        <v>71</v>
      </c>
      <c r="G168" s="3" t="s">
        <v>470</v>
      </c>
      <c r="H168" s="2" t="s">
        <v>471</v>
      </c>
      <c r="I168" s="16" t="s">
        <v>31</v>
      </c>
      <c r="J168" s="19"/>
      <c r="K168" s="16"/>
      <c r="L168" s="16"/>
      <c r="M168" s="16"/>
      <c r="N168" s="16">
        <v>86</v>
      </c>
      <c r="O168" s="19"/>
      <c r="P168" s="16"/>
      <c r="Q168" s="16"/>
      <c r="R168" s="16"/>
      <c r="S168" s="16">
        <v>88</v>
      </c>
      <c r="T168" s="16">
        <v>94</v>
      </c>
      <c r="U168" s="16">
        <v>100</v>
      </c>
    </row>
    <row r="169" spans="1:21" ht="15" hidden="1" customHeight="1" x14ac:dyDescent="0.3">
      <c r="A169" s="12" t="s">
        <v>225</v>
      </c>
      <c r="B169" s="46" t="s">
        <v>58</v>
      </c>
      <c r="C169" s="12" t="s">
        <v>58</v>
      </c>
      <c r="D169" s="3" t="s">
        <v>469</v>
      </c>
      <c r="E169" s="16" t="s">
        <v>59</v>
      </c>
      <c r="F169" s="16" t="s">
        <v>71</v>
      </c>
      <c r="G169" s="3" t="s">
        <v>472</v>
      </c>
      <c r="H169" s="2" t="s">
        <v>473</v>
      </c>
      <c r="I169" s="16" t="s">
        <v>31</v>
      </c>
      <c r="J169" s="19"/>
      <c r="K169" s="16"/>
      <c r="L169" s="16"/>
      <c r="M169" s="16"/>
      <c r="N169" s="16">
        <v>32</v>
      </c>
      <c r="O169" s="19"/>
      <c r="P169" s="16"/>
      <c r="Q169" s="16"/>
      <c r="R169" s="16"/>
      <c r="S169" s="16">
        <v>34</v>
      </c>
      <c r="T169" s="16">
        <v>38</v>
      </c>
      <c r="U169" s="16">
        <v>42</v>
      </c>
    </row>
    <row r="170" spans="1:21" ht="15" hidden="1" customHeight="1" x14ac:dyDescent="0.3">
      <c r="A170" s="12" t="s">
        <v>225</v>
      </c>
      <c r="B170" s="46" t="s">
        <v>58</v>
      </c>
      <c r="C170" s="12" t="s">
        <v>58</v>
      </c>
      <c r="D170" s="3" t="s">
        <v>469</v>
      </c>
      <c r="E170" s="16" t="s">
        <v>59</v>
      </c>
      <c r="F170" s="16" t="s">
        <v>55</v>
      </c>
      <c r="G170" s="3" t="s">
        <v>474</v>
      </c>
      <c r="H170" s="2" t="s">
        <v>475</v>
      </c>
      <c r="I170" s="16" t="s">
        <v>31</v>
      </c>
      <c r="J170" s="19"/>
      <c r="K170" s="16"/>
      <c r="L170" s="16"/>
      <c r="M170" s="16"/>
      <c r="N170" s="16">
        <v>80</v>
      </c>
      <c r="O170" s="19"/>
      <c r="P170" s="16"/>
      <c r="Q170" s="16"/>
      <c r="R170" s="16"/>
      <c r="S170" s="16">
        <v>50</v>
      </c>
      <c r="T170" s="16">
        <v>0</v>
      </c>
      <c r="U170" s="16">
        <v>0</v>
      </c>
    </row>
    <row r="171" spans="1:21" ht="15" hidden="1" customHeight="1" thickBot="1" x14ac:dyDescent="0.35">
      <c r="A171" s="12" t="s">
        <v>225</v>
      </c>
      <c r="B171" s="47" t="s">
        <v>58</v>
      </c>
      <c r="C171" s="48" t="s">
        <v>58</v>
      </c>
      <c r="D171" s="20" t="s">
        <v>469</v>
      </c>
      <c r="E171" s="21" t="s">
        <v>59</v>
      </c>
      <c r="F171" s="21" t="s">
        <v>71</v>
      </c>
      <c r="G171" s="20" t="s">
        <v>476</v>
      </c>
      <c r="H171" s="22" t="s">
        <v>477</v>
      </c>
      <c r="I171" s="21" t="s">
        <v>31</v>
      </c>
      <c r="J171" s="23"/>
      <c r="K171" s="21"/>
      <c r="L171" s="21"/>
      <c r="M171" s="21"/>
      <c r="N171" s="21">
        <v>78391</v>
      </c>
      <c r="O171" s="23"/>
      <c r="P171" s="21"/>
      <c r="Q171" s="21"/>
      <c r="R171" s="21"/>
      <c r="S171" s="21">
        <v>80000</v>
      </c>
      <c r="T171" s="21">
        <v>81500</v>
      </c>
      <c r="U171" s="21">
        <v>84000</v>
      </c>
    </row>
    <row r="172" spans="1:21" ht="15" hidden="1" customHeight="1" x14ac:dyDescent="0.3">
      <c r="A172" s="12" t="s">
        <v>225</v>
      </c>
      <c r="B172" s="46" t="s">
        <v>65</v>
      </c>
      <c r="C172" s="12" t="s">
        <v>65</v>
      </c>
      <c r="D172" s="3" t="s">
        <v>412</v>
      </c>
      <c r="E172" s="16" t="s">
        <v>54</v>
      </c>
      <c r="F172" s="16" t="s">
        <v>55</v>
      </c>
      <c r="G172" s="2" t="s">
        <v>413</v>
      </c>
      <c r="H172" s="2" t="s">
        <v>434</v>
      </c>
      <c r="I172" s="16" t="s">
        <v>31</v>
      </c>
      <c r="J172" s="19"/>
      <c r="K172" s="16"/>
      <c r="L172" s="16"/>
      <c r="M172" s="16"/>
      <c r="N172" s="16">
        <v>4</v>
      </c>
      <c r="O172" s="19"/>
      <c r="P172" s="16"/>
      <c r="Q172" s="16"/>
      <c r="R172" s="16"/>
      <c r="S172" s="16">
        <v>2</v>
      </c>
      <c r="T172" s="16">
        <v>2</v>
      </c>
      <c r="U172" s="16">
        <v>2</v>
      </c>
    </row>
    <row r="173" spans="1:21" ht="15" hidden="1" customHeight="1" x14ac:dyDescent="0.3">
      <c r="A173" s="12" t="s">
        <v>225</v>
      </c>
      <c r="B173" s="46" t="s">
        <v>65</v>
      </c>
      <c r="C173" s="12" t="s">
        <v>65</v>
      </c>
      <c r="D173" s="3" t="s">
        <v>412</v>
      </c>
      <c r="E173" s="16" t="s">
        <v>54</v>
      </c>
      <c r="F173" s="16" t="s">
        <v>55</v>
      </c>
      <c r="G173" s="2" t="s">
        <v>415</v>
      </c>
      <c r="H173" s="2" t="s">
        <v>433</v>
      </c>
      <c r="I173" s="16" t="s">
        <v>31</v>
      </c>
      <c r="J173" s="19"/>
      <c r="K173" s="16"/>
      <c r="L173" s="16"/>
      <c r="M173" s="16"/>
      <c r="N173" s="16">
        <v>6</v>
      </c>
      <c r="O173" s="19"/>
      <c r="P173" s="16"/>
      <c r="Q173" s="16"/>
      <c r="R173" s="16"/>
      <c r="S173" s="16">
        <v>4</v>
      </c>
      <c r="T173" s="16">
        <v>2</v>
      </c>
      <c r="U173" s="16">
        <v>4</v>
      </c>
    </row>
    <row r="174" spans="1:21" ht="15" hidden="1" customHeight="1" x14ac:dyDescent="0.3">
      <c r="A174" s="12" t="s">
        <v>225</v>
      </c>
      <c r="B174" s="46" t="s">
        <v>65</v>
      </c>
      <c r="C174" s="12" t="s">
        <v>65</v>
      </c>
      <c r="D174" s="3" t="s">
        <v>412</v>
      </c>
      <c r="E174" s="16" t="s">
        <v>54</v>
      </c>
      <c r="F174" s="16" t="s">
        <v>55</v>
      </c>
      <c r="G174" s="2" t="s">
        <v>417</v>
      </c>
      <c r="H174" s="2" t="s">
        <v>435</v>
      </c>
      <c r="I174" s="16" t="s">
        <v>31</v>
      </c>
      <c r="J174" s="19"/>
      <c r="K174" s="16"/>
      <c r="L174" s="16"/>
      <c r="M174" s="16"/>
      <c r="N174" s="16">
        <v>3</v>
      </c>
      <c r="O174" s="19"/>
      <c r="P174" s="16"/>
      <c r="Q174" s="16"/>
      <c r="R174" s="16"/>
      <c r="S174" s="16">
        <v>5</v>
      </c>
      <c r="T174" s="16">
        <v>5</v>
      </c>
      <c r="U174" s="16">
        <v>5</v>
      </c>
    </row>
    <row r="175" spans="1:21" ht="15" hidden="1" customHeight="1" x14ac:dyDescent="0.3">
      <c r="A175" s="12" t="s">
        <v>225</v>
      </c>
      <c r="B175" s="46" t="s">
        <v>65</v>
      </c>
      <c r="C175" s="12" t="s">
        <v>65</v>
      </c>
      <c r="D175" s="3" t="s">
        <v>412</v>
      </c>
      <c r="E175" s="16" t="s">
        <v>54</v>
      </c>
      <c r="F175" s="16" t="s">
        <v>55</v>
      </c>
      <c r="G175" s="2" t="s">
        <v>421</v>
      </c>
      <c r="H175" s="2" t="s">
        <v>437</v>
      </c>
      <c r="I175" s="16" t="s">
        <v>31</v>
      </c>
      <c r="J175" s="19"/>
      <c r="K175" s="16"/>
      <c r="L175" s="16"/>
      <c r="M175" s="16"/>
      <c r="N175" s="16">
        <v>4</v>
      </c>
      <c r="O175" s="19"/>
      <c r="P175" s="16"/>
      <c r="Q175" s="16"/>
      <c r="R175" s="16"/>
      <c r="S175" s="16">
        <v>5</v>
      </c>
      <c r="T175" s="16">
        <v>5</v>
      </c>
      <c r="U175" s="16">
        <v>5</v>
      </c>
    </row>
    <row r="176" spans="1:21" ht="15" hidden="1" customHeight="1" x14ac:dyDescent="0.3">
      <c r="A176" s="12" t="s">
        <v>225</v>
      </c>
      <c r="B176" s="46" t="s">
        <v>65</v>
      </c>
      <c r="C176" s="12" t="s">
        <v>65</v>
      </c>
      <c r="D176" s="3" t="s">
        <v>412</v>
      </c>
      <c r="E176" s="16" t="s">
        <v>54</v>
      </c>
      <c r="F176" s="16" t="s">
        <v>55</v>
      </c>
      <c r="G176" s="2" t="s">
        <v>419</v>
      </c>
      <c r="H176" s="2" t="s">
        <v>436</v>
      </c>
      <c r="I176" s="16" t="s">
        <v>31</v>
      </c>
      <c r="J176" s="19"/>
      <c r="K176" s="16"/>
      <c r="L176" s="16"/>
      <c r="M176" s="16"/>
      <c r="N176" s="16">
        <v>4</v>
      </c>
      <c r="O176" s="19"/>
      <c r="P176" s="16"/>
      <c r="Q176" s="16"/>
      <c r="R176" s="16"/>
      <c r="S176" s="16">
        <v>4</v>
      </c>
      <c r="T176" s="16">
        <v>4</v>
      </c>
      <c r="U176" s="16">
        <v>4</v>
      </c>
    </row>
    <row r="177" spans="1:21" ht="15" hidden="1" customHeight="1" x14ac:dyDescent="0.3">
      <c r="A177" s="12" t="s">
        <v>225</v>
      </c>
      <c r="B177" s="46" t="s">
        <v>65</v>
      </c>
      <c r="C177" s="12" t="s">
        <v>65</v>
      </c>
      <c r="D177" s="3" t="s">
        <v>423</v>
      </c>
      <c r="E177" s="16" t="s">
        <v>54</v>
      </c>
      <c r="F177" s="16" t="s">
        <v>55</v>
      </c>
      <c r="G177" s="2" t="s">
        <v>424</v>
      </c>
      <c r="H177" s="2" t="s">
        <v>73</v>
      </c>
      <c r="I177" s="16" t="s">
        <v>31</v>
      </c>
      <c r="J177" s="19"/>
      <c r="K177" s="16"/>
      <c r="L177" s="16"/>
      <c r="M177" s="16"/>
      <c r="N177" s="16">
        <v>2</v>
      </c>
      <c r="O177" s="19"/>
      <c r="P177" s="16"/>
      <c r="Q177" s="16"/>
      <c r="R177" s="16"/>
      <c r="S177" s="16">
        <v>3</v>
      </c>
      <c r="T177" s="16">
        <v>3</v>
      </c>
      <c r="U177" s="16">
        <v>3</v>
      </c>
    </row>
    <row r="178" spans="1:21" ht="15" hidden="1" customHeight="1" x14ac:dyDescent="0.3">
      <c r="A178" s="12" t="s">
        <v>225</v>
      </c>
      <c r="B178" s="46" t="s">
        <v>65</v>
      </c>
      <c r="C178" s="12" t="s">
        <v>65</v>
      </c>
      <c r="D178" s="3" t="s">
        <v>423</v>
      </c>
      <c r="E178" s="16" t="s">
        <v>54</v>
      </c>
      <c r="F178" s="16" t="s">
        <v>55</v>
      </c>
      <c r="G178" s="2" t="s">
        <v>426</v>
      </c>
      <c r="H178" s="2" t="s">
        <v>61</v>
      </c>
      <c r="I178" s="16" t="s">
        <v>31</v>
      </c>
      <c r="J178" s="19"/>
      <c r="K178" s="16"/>
      <c r="L178" s="16"/>
      <c r="M178" s="16"/>
      <c r="N178" s="16">
        <v>2</v>
      </c>
      <c r="O178" s="19"/>
      <c r="P178" s="16"/>
      <c r="Q178" s="16"/>
      <c r="R178" s="16"/>
      <c r="S178" s="16">
        <v>1</v>
      </c>
      <c r="T178" s="16">
        <v>1</v>
      </c>
      <c r="U178" s="16">
        <v>1</v>
      </c>
    </row>
    <row r="179" spans="1:21" ht="15" hidden="1" customHeight="1" x14ac:dyDescent="0.3">
      <c r="A179" s="12" t="s">
        <v>225</v>
      </c>
      <c r="B179" s="46" t="s">
        <v>65</v>
      </c>
      <c r="C179" s="12" t="s">
        <v>65</v>
      </c>
      <c r="D179" s="3" t="s">
        <v>447</v>
      </c>
      <c r="E179" s="16" t="s">
        <v>54</v>
      </c>
      <c r="F179" s="16" t="s">
        <v>55</v>
      </c>
      <c r="G179" s="2" t="s">
        <v>448</v>
      </c>
      <c r="H179" s="2" t="s">
        <v>449</v>
      </c>
      <c r="I179" s="16" t="s">
        <v>31</v>
      </c>
      <c r="J179" s="19"/>
      <c r="K179" s="16"/>
      <c r="L179" s="16"/>
      <c r="M179" s="16"/>
      <c r="N179" s="16">
        <v>7</v>
      </c>
      <c r="O179" s="19"/>
      <c r="P179" s="16"/>
      <c r="Q179" s="16"/>
      <c r="R179" s="16"/>
      <c r="S179" s="16">
        <v>2</v>
      </c>
      <c r="T179" s="16">
        <v>2</v>
      </c>
      <c r="U179" s="16">
        <v>2</v>
      </c>
    </row>
    <row r="180" spans="1:21" ht="15" hidden="1" customHeight="1" x14ac:dyDescent="0.3">
      <c r="A180" s="12" t="s">
        <v>225</v>
      </c>
      <c r="B180" s="46" t="s">
        <v>65</v>
      </c>
      <c r="C180" s="12" t="s">
        <v>65</v>
      </c>
      <c r="D180" s="3" t="s">
        <v>447</v>
      </c>
      <c r="E180" s="16" t="s">
        <v>54</v>
      </c>
      <c r="F180" s="16" t="s">
        <v>55</v>
      </c>
      <c r="G180" s="2" t="s">
        <v>450</v>
      </c>
      <c r="H180" s="2" t="s">
        <v>451</v>
      </c>
      <c r="I180" s="16" t="s">
        <v>31</v>
      </c>
      <c r="J180" s="19"/>
      <c r="K180" s="16"/>
      <c r="L180" s="16"/>
      <c r="M180" s="16"/>
      <c r="N180" s="16">
        <v>770</v>
      </c>
      <c r="O180" s="19"/>
      <c r="P180" s="16"/>
      <c r="Q180" s="16"/>
      <c r="R180" s="16"/>
      <c r="S180" s="16">
        <v>1500</v>
      </c>
      <c r="T180" s="16">
        <v>500</v>
      </c>
      <c r="U180" s="16">
        <v>1500</v>
      </c>
    </row>
    <row r="181" spans="1:21" ht="15" hidden="1" customHeight="1" x14ac:dyDescent="0.3">
      <c r="A181" s="12" t="s">
        <v>225</v>
      </c>
      <c r="B181" s="46" t="s">
        <v>65</v>
      </c>
      <c r="C181" s="12" t="s">
        <v>65</v>
      </c>
      <c r="D181" s="3" t="s">
        <v>478</v>
      </c>
      <c r="E181" s="16" t="s">
        <v>54</v>
      </c>
      <c r="F181" s="16" t="s">
        <v>71</v>
      </c>
      <c r="G181" s="2" t="s">
        <v>479</v>
      </c>
      <c r="H181" s="2" t="s">
        <v>480</v>
      </c>
      <c r="I181" s="16" t="s">
        <v>31</v>
      </c>
      <c r="J181" s="19"/>
      <c r="K181" s="16">
        <v>8</v>
      </c>
      <c r="L181" s="16">
        <v>5</v>
      </c>
      <c r="M181" s="16">
        <v>6</v>
      </c>
      <c r="N181" s="16">
        <v>0</v>
      </c>
      <c r="O181" s="19"/>
      <c r="P181" s="16">
        <v>4</v>
      </c>
      <c r="Q181" s="16">
        <v>5</v>
      </c>
      <c r="R181" s="16">
        <v>6</v>
      </c>
      <c r="S181" s="16">
        <v>2</v>
      </c>
      <c r="T181" s="16">
        <v>2</v>
      </c>
      <c r="U181" s="16">
        <v>2</v>
      </c>
    </row>
    <row r="182" spans="1:21" ht="15" hidden="1" customHeight="1" x14ac:dyDescent="0.3">
      <c r="A182" s="12" t="s">
        <v>225</v>
      </c>
      <c r="B182" s="46" t="s">
        <v>65</v>
      </c>
      <c r="C182" s="12" t="s">
        <v>65</v>
      </c>
      <c r="D182" s="3" t="s">
        <v>478</v>
      </c>
      <c r="E182" s="16" t="s">
        <v>54</v>
      </c>
      <c r="F182" s="16" t="s">
        <v>71</v>
      </c>
      <c r="G182" s="2" t="s">
        <v>441</v>
      </c>
      <c r="H182" s="2" t="s">
        <v>481</v>
      </c>
      <c r="I182" s="16" t="s">
        <v>31</v>
      </c>
      <c r="J182" s="19">
        <v>160830</v>
      </c>
      <c r="K182" s="16">
        <v>650000</v>
      </c>
      <c r="L182" s="16">
        <v>500000</v>
      </c>
      <c r="M182" s="16">
        <v>627160</v>
      </c>
      <c r="N182" s="16">
        <v>0</v>
      </c>
      <c r="O182" s="19">
        <v>100000</v>
      </c>
      <c r="P182" s="16">
        <v>200000</v>
      </c>
      <c r="Q182" s="16">
        <v>500000</v>
      </c>
      <c r="R182" s="16">
        <v>200000</v>
      </c>
      <c r="S182" s="16">
        <v>1500000</v>
      </c>
      <c r="T182" s="16">
        <v>500000</v>
      </c>
      <c r="U182" s="16">
        <v>1500000</v>
      </c>
    </row>
    <row r="183" spans="1:21" ht="15" hidden="1" customHeight="1" x14ac:dyDescent="0.3">
      <c r="A183" s="12" t="s">
        <v>225</v>
      </c>
      <c r="B183" s="46" t="s">
        <v>65</v>
      </c>
      <c r="C183" s="12" t="s">
        <v>65</v>
      </c>
      <c r="D183" s="3" t="s">
        <v>428</v>
      </c>
      <c r="E183" s="16" t="s">
        <v>54</v>
      </c>
      <c r="F183" s="16" t="s">
        <v>71</v>
      </c>
      <c r="G183" s="2" t="s">
        <v>482</v>
      </c>
      <c r="H183" s="2" t="s">
        <v>483</v>
      </c>
      <c r="I183" s="16" t="s">
        <v>31</v>
      </c>
      <c r="J183" s="19"/>
      <c r="K183" s="16"/>
      <c r="L183" s="16"/>
      <c r="M183" s="16"/>
      <c r="N183" s="16">
        <v>1</v>
      </c>
      <c r="O183" s="19"/>
      <c r="P183" s="16"/>
      <c r="Q183" s="16"/>
      <c r="R183" s="16"/>
      <c r="S183" s="16">
        <v>1</v>
      </c>
      <c r="T183" s="16">
        <v>1</v>
      </c>
      <c r="U183" s="16">
        <v>1</v>
      </c>
    </row>
    <row r="184" spans="1:21" ht="15" hidden="1" customHeight="1" x14ac:dyDescent="0.3">
      <c r="A184" s="12" t="s">
        <v>225</v>
      </c>
      <c r="B184" s="46" t="s">
        <v>65</v>
      </c>
      <c r="C184" s="12" t="s">
        <v>65</v>
      </c>
      <c r="D184" s="3" t="s">
        <v>452</v>
      </c>
      <c r="E184" s="16" t="s">
        <v>54</v>
      </c>
      <c r="F184" s="16" t="s">
        <v>55</v>
      </c>
      <c r="G184" s="2" t="s">
        <v>453</v>
      </c>
      <c r="H184" s="2" t="s">
        <v>454</v>
      </c>
      <c r="I184" s="16" t="s">
        <v>31</v>
      </c>
      <c r="J184" s="19">
        <v>7</v>
      </c>
      <c r="K184" s="16">
        <v>9</v>
      </c>
      <c r="L184" s="16">
        <v>2</v>
      </c>
      <c r="M184" s="16">
        <v>25</v>
      </c>
      <c r="N184" s="16">
        <v>0</v>
      </c>
      <c r="O184" s="19">
        <v>2</v>
      </c>
      <c r="P184" s="16">
        <v>2</v>
      </c>
      <c r="Q184" s="16">
        <v>2</v>
      </c>
      <c r="R184" s="16">
        <v>2</v>
      </c>
      <c r="S184" s="16">
        <v>4</v>
      </c>
      <c r="T184" s="16">
        <v>4</v>
      </c>
      <c r="U184" s="16">
        <v>4</v>
      </c>
    </row>
    <row r="185" spans="1:21" ht="15" hidden="1" customHeight="1" x14ac:dyDescent="0.3">
      <c r="A185" s="12" t="s">
        <v>225</v>
      </c>
      <c r="B185" s="46" t="s">
        <v>65</v>
      </c>
      <c r="C185" s="12" t="s">
        <v>65</v>
      </c>
      <c r="D185" s="3" t="s">
        <v>452</v>
      </c>
      <c r="E185" s="16" t="s">
        <v>54</v>
      </c>
      <c r="F185" s="16" t="s">
        <v>55</v>
      </c>
      <c r="G185" s="2" t="s">
        <v>431</v>
      </c>
      <c r="H185" s="2" t="s">
        <v>455</v>
      </c>
      <c r="I185" s="16" t="s">
        <v>31</v>
      </c>
      <c r="J185" s="19"/>
      <c r="K185" s="16"/>
      <c r="L185" s="16"/>
      <c r="M185" s="16"/>
      <c r="N185" s="16">
        <v>3</v>
      </c>
      <c r="O185" s="19"/>
      <c r="P185" s="16"/>
      <c r="Q185" s="16"/>
      <c r="R185" s="16"/>
      <c r="S185" s="16">
        <v>3</v>
      </c>
      <c r="T185" s="16">
        <v>3</v>
      </c>
      <c r="U185" s="16">
        <v>3</v>
      </c>
    </row>
    <row r="186" spans="1:21" ht="15" hidden="1" customHeight="1" x14ac:dyDescent="0.3">
      <c r="A186" s="12" t="s">
        <v>225</v>
      </c>
      <c r="B186" s="46" t="s">
        <v>65</v>
      </c>
      <c r="C186" s="12" t="s">
        <v>65</v>
      </c>
      <c r="D186" s="3" t="s">
        <v>452</v>
      </c>
      <c r="E186" s="16" t="s">
        <v>54</v>
      </c>
      <c r="F186" s="16" t="s">
        <v>71</v>
      </c>
      <c r="G186" s="2" t="s">
        <v>484</v>
      </c>
      <c r="H186" s="2" t="s">
        <v>485</v>
      </c>
      <c r="I186" s="16" t="s">
        <v>31</v>
      </c>
      <c r="J186" s="19"/>
      <c r="K186" s="16"/>
      <c r="L186" s="16"/>
      <c r="M186" s="16"/>
      <c r="N186" s="16">
        <v>0</v>
      </c>
      <c r="O186" s="19"/>
      <c r="P186" s="16"/>
      <c r="Q186" s="16"/>
      <c r="R186" s="16"/>
      <c r="S186" s="16">
        <v>20</v>
      </c>
      <c r="T186" s="16">
        <v>20</v>
      </c>
      <c r="U186" s="16">
        <v>20</v>
      </c>
    </row>
    <row r="187" spans="1:21" ht="15" hidden="1" customHeight="1" x14ac:dyDescent="0.3">
      <c r="A187" s="12" t="s">
        <v>225</v>
      </c>
      <c r="B187" s="46" t="s">
        <v>65</v>
      </c>
      <c r="C187" s="12" t="s">
        <v>65</v>
      </c>
      <c r="D187" s="3" t="s">
        <v>486</v>
      </c>
      <c r="E187" s="16" t="s">
        <v>54</v>
      </c>
      <c r="F187" s="16" t="s">
        <v>55</v>
      </c>
      <c r="G187" s="2" t="s">
        <v>487</v>
      </c>
      <c r="H187" s="2" t="s">
        <v>488</v>
      </c>
      <c r="I187" s="16" t="s">
        <v>31</v>
      </c>
      <c r="J187" s="19"/>
      <c r="K187" s="16"/>
      <c r="L187" s="16"/>
      <c r="M187" s="16"/>
      <c r="N187" s="16">
        <v>0</v>
      </c>
      <c r="O187" s="19"/>
      <c r="P187" s="16"/>
      <c r="Q187" s="16"/>
      <c r="R187" s="16"/>
      <c r="S187" s="16">
        <v>6</v>
      </c>
      <c r="T187" s="16">
        <v>6</v>
      </c>
      <c r="U187" s="16">
        <v>6</v>
      </c>
    </row>
    <row r="188" spans="1:21" ht="15" hidden="1" customHeight="1" x14ac:dyDescent="0.3">
      <c r="A188" s="12" t="s">
        <v>225</v>
      </c>
      <c r="B188" s="46" t="s">
        <v>65</v>
      </c>
      <c r="C188" s="12" t="s">
        <v>65</v>
      </c>
      <c r="D188" s="3" t="s">
        <v>486</v>
      </c>
      <c r="E188" s="16" t="s">
        <v>54</v>
      </c>
      <c r="F188" s="16" t="s">
        <v>55</v>
      </c>
      <c r="G188" s="2" t="s">
        <v>489</v>
      </c>
      <c r="H188" s="2" t="s">
        <v>490</v>
      </c>
      <c r="I188" s="16" t="s">
        <v>31</v>
      </c>
      <c r="J188" s="19"/>
      <c r="K188" s="16"/>
      <c r="L188" s="16"/>
      <c r="M188" s="16"/>
      <c r="N188" s="16">
        <v>0</v>
      </c>
      <c r="O188" s="19"/>
      <c r="P188" s="16"/>
      <c r="Q188" s="16"/>
      <c r="R188" s="16"/>
      <c r="S188" s="16">
        <v>1456000</v>
      </c>
      <c r="T188" s="16">
        <v>1456000</v>
      </c>
      <c r="U188" s="16">
        <v>1456000</v>
      </c>
    </row>
    <row r="189" spans="1:21" ht="15" hidden="1" customHeight="1" x14ac:dyDescent="0.3">
      <c r="A189" s="12" t="s">
        <v>225</v>
      </c>
      <c r="B189" s="46" t="s">
        <v>65</v>
      </c>
      <c r="C189" s="12" t="s">
        <v>65</v>
      </c>
      <c r="D189" s="3" t="s">
        <v>462</v>
      </c>
      <c r="E189" s="16" t="s">
        <v>54</v>
      </c>
      <c r="F189" s="16" t="s">
        <v>55</v>
      </c>
      <c r="G189" s="2" t="s">
        <v>463</v>
      </c>
      <c r="H189" s="2" t="s">
        <v>491</v>
      </c>
      <c r="I189" s="16" t="s">
        <v>31</v>
      </c>
      <c r="J189" s="19"/>
      <c r="K189" s="16"/>
      <c r="L189" s="16"/>
      <c r="M189" s="16"/>
      <c r="N189" s="16">
        <v>0</v>
      </c>
      <c r="O189" s="19"/>
      <c r="P189" s="16"/>
      <c r="Q189" s="16"/>
      <c r="R189" s="16"/>
      <c r="S189" s="16">
        <v>85</v>
      </c>
      <c r="T189" s="16">
        <v>85</v>
      </c>
      <c r="U189" s="16">
        <v>85</v>
      </c>
    </row>
    <row r="190" spans="1:21" ht="15" hidden="1" customHeight="1" x14ac:dyDescent="0.3">
      <c r="A190" s="12" t="s">
        <v>225</v>
      </c>
      <c r="B190" s="46" t="s">
        <v>65</v>
      </c>
      <c r="C190" s="12" t="s">
        <v>65</v>
      </c>
      <c r="D190" s="3" t="s">
        <v>462</v>
      </c>
      <c r="E190" s="16" t="s">
        <v>54</v>
      </c>
      <c r="F190" s="16" t="s">
        <v>55</v>
      </c>
      <c r="G190" s="2" t="s">
        <v>465</v>
      </c>
      <c r="H190" s="2" t="s">
        <v>492</v>
      </c>
      <c r="I190" s="16" t="s">
        <v>31</v>
      </c>
      <c r="J190" s="19"/>
      <c r="K190" s="16"/>
      <c r="L190" s="16"/>
      <c r="M190" s="16"/>
      <c r="N190" s="16">
        <v>0</v>
      </c>
      <c r="O190" s="19"/>
      <c r="P190" s="16"/>
      <c r="Q190" s="16"/>
      <c r="R190" s="16"/>
      <c r="S190" s="16">
        <v>20</v>
      </c>
      <c r="T190" s="16">
        <v>20</v>
      </c>
      <c r="U190" s="16">
        <v>20</v>
      </c>
    </row>
    <row r="191" spans="1:21" ht="15" hidden="1" customHeight="1" x14ac:dyDescent="0.3">
      <c r="A191" s="12" t="s">
        <v>225</v>
      </c>
      <c r="B191" s="46" t="s">
        <v>65</v>
      </c>
      <c r="C191" s="12" t="s">
        <v>65</v>
      </c>
      <c r="D191" s="3" t="s">
        <v>462</v>
      </c>
      <c r="E191" s="16" t="s">
        <v>54</v>
      </c>
      <c r="F191" s="16" t="s">
        <v>55</v>
      </c>
      <c r="G191" s="2" t="s">
        <v>467</v>
      </c>
      <c r="H191" s="2" t="s">
        <v>493</v>
      </c>
      <c r="I191" s="16" t="s">
        <v>31</v>
      </c>
      <c r="J191" s="19"/>
      <c r="K191" s="16"/>
      <c r="L191" s="16"/>
      <c r="M191" s="16"/>
      <c r="N191" s="16">
        <v>0</v>
      </c>
      <c r="O191" s="19"/>
      <c r="P191" s="16"/>
      <c r="Q191" s="16"/>
      <c r="R191" s="16"/>
      <c r="S191" s="16">
        <v>75</v>
      </c>
      <c r="T191" s="16">
        <v>75</v>
      </c>
      <c r="U191" s="16">
        <v>75</v>
      </c>
    </row>
    <row r="192" spans="1:21" ht="15" hidden="1" customHeight="1" x14ac:dyDescent="0.3">
      <c r="A192" s="12" t="s">
        <v>225</v>
      </c>
      <c r="B192" s="46" t="s">
        <v>65</v>
      </c>
      <c r="C192" s="12" t="s">
        <v>65</v>
      </c>
      <c r="D192" s="3" t="s">
        <v>494</v>
      </c>
      <c r="E192" s="16" t="s">
        <v>54</v>
      </c>
      <c r="F192" s="16" t="s">
        <v>55</v>
      </c>
      <c r="G192" s="2" t="s">
        <v>495</v>
      </c>
      <c r="H192" s="2" t="s">
        <v>496</v>
      </c>
      <c r="I192" s="16" t="s">
        <v>31</v>
      </c>
      <c r="J192" s="19"/>
      <c r="K192" s="16"/>
      <c r="L192" s="16"/>
      <c r="M192" s="16"/>
      <c r="N192" s="16">
        <v>3</v>
      </c>
      <c r="O192" s="19"/>
      <c r="P192" s="16"/>
      <c r="Q192" s="16"/>
      <c r="R192" s="16"/>
      <c r="S192" s="16">
        <v>3</v>
      </c>
      <c r="T192" s="16">
        <v>0</v>
      </c>
      <c r="U192" s="16">
        <v>0</v>
      </c>
    </row>
    <row r="193" spans="1:21" ht="15" hidden="1" customHeight="1" thickBot="1" x14ac:dyDescent="0.35">
      <c r="A193" s="12" t="s">
        <v>225</v>
      </c>
      <c r="B193" s="47" t="s">
        <v>65</v>
      </c>
      <c r="C193" s="48" t="s">
        <v>65</v>
      </c>
      <c r="D193" s="20" t="s">
        <v>494</v>
      </c>
      <c r="E193" s="21" t="s">
        <v>54</v>
      </c>
      <c r="F193" s="21" t="s">
        <v>55</v>
      </c>
      <c r="G193" s="22" t="s">
        <v>497</v>
      </c>
      <c r="H193" s="22" t="s">
        <v>498</v>
      </c>
      <c r="I193" s="21" t="s">
        <v>31</v>
      </c>
      <c r="J193" s="23"/>
      <c r="K193" s="21"/>
      <c r="L193" s="21"/>
      <c r="M193" s="21"/>
      <c r="N193" s="21">
        <v>0</v>
      </c>
      <c r="O193" s="23"/>
      <c r="P193" s="21"/>
      <c r="Q193" s="21"/>
      <c r="R193" s="21"/>
      <c r="S193" s="21">
        <v>1</v>
      </c>
      <c r="T193" s="21">
        <v>1</v>
      </c>
      <c r="U193" s="21">
        <v>1</v>
      </c>
    </row>
    <row r="194" spans="1:21" ht="15" hidden="1" customHeight="1" x14ac:dyDescent="0.3">
      <c r="A194" s="12" t="s">
        <v>225</v>
      </c>
      <c r="B194" s="46" t="s">
        <v>62</v>
      </c>
      <c r="C194" s="12" t="s">
        <v>62</v>
      </c>
      <c r="D194" s="3" t="s">
        <v>412</v>
      </c>
      <c r="E194" s="16" t="s">
        <v>54</v>
      </c>
      <c r="F194" s="16" t="s">
        <v>71</v>
      </c>
      <c r="G194" s="2" t="s">
        <v>413</v>
      </c>
      <c r="H194" s="2" t="s">
        <v>434</v>
      </c>
      <c r="I194" s="16" t="s">
        <v>31</v>
      </c>
      <c r="J194" s="18"/>
      <c r="K194" s="17"/>
      <c r="L194" s="17"/>
      <c r="M194" s="17"/>
      <c r="N194" s="17">
        <v>4</v>
      </c>
      <c r="O194" s="18"/>
      <c r="P194" s="17"/>
      <c r="Q194" s="17"/>
      <c r="R194" s="17"/>
      <c r="S194" s="17">
        <v>3</v>
      </c>
      <c r="T194" s="17">
        <v>3</v>
      </c>
      <c r="U194" s="17">
        <v>3</v>
      </c>
    </row>
    <row r="195" spans="1:21" ht="15" hidden="1" customHeight="1" x14ac:dyDescent="0.3">
      <c r="A195" s="12" t="s">
        <v>225</v>
      </c>
      <c r="B195" s="46" t="s">
        <v>62</v>
      </c>
      <c r="C195" s="12" t="s">
        <v>62</v>
      </c>
      <c r="D195" s="3" t="s">
        <v>412</v>
      </c>
      <c r="E195" s="16" t="s">
        <v>54</v>
      </c>
      <c r="F195" s="16" t="s">
        <v>71</v>
      </c>
      <c r="G195" s="2" t="s">
        <v>415</v>
      </c>
      <c r="H195" s="2" t="s">
        <v>433</v>
      </c>
      <c r="I195" s="16" t="s">
        <v>31</v>
      </c>
      <c r="J195" s="18"/>
      <c r="K195" s="17"/>
      <c r="L195" s="17"/>
      <c r="M195" s="17"/>
      <c r="N195" s="17">
        <v>6</v>
      </c>
      <c r="O195" s="18"/>
      <c r="P195" s="17"/>
      <c r="Q195" s="17"/>
      <c r="R195" s="17"/>
      <c r="S195" s="17">
        <v>3</v>
      </c>
      <c r="T195" s="17">
        <v>3</v>
      </c>
      <c r="U195" s="17">
        <v>3</v>
      </c>
    </row>
    <row r="196" spans="1:21" ht="15" hidden="1" customHeight="1" x14ac:dyDescent="0.3">
      <c r="A196" s="12" t="s">
        <v>225</v>
      </c>
      <c r="B196" s="46" t="s">
        <v>62</v>
      </c>
      <c r="C196" s="12" t="s">
        <v>62</v>
      </c>
      <c r="D196" s="3" t="s">
        <v>412</v>
      </c>
      <c r="E196" s="16" t="s">
        <v>54</v>
      </c>
      <c r="F196" s="16" t="s">
        <v>71</v>
      </c>
      <c r="G196" s="2" t="s">
        <v>417</v>
      </c>
      <c r="H196" s="2" t="s">
        <v>435</v>
      </c>
      <c r="I196" s="16" t="s">
        <v>31</v>
      </c>
      <c r="J196" s="18"/>
      <c r="K196" s="17"/>
      <c r="L196" s="17"/>
      <c r="M196" s="17"/>
      <c r="N196" s="17">
        <v>1</v>
      </c>
      <c r="O196" s="18"/>
      <c r="P196" s="17"/>
      <c r="Q196" s="17"/>
      <c r="R196" s="17"/>
      <c r="S196" s="17">
        <v>3</v>
      </c>
      <c r="T196" s="17">
        <v>3</v>
      </c>
      <c r="U196" s="17">
        <v>3</v>
      </c>
    </row>
    <row r="197" spans="1:21" ht="15" hidden="1" customHeight="1" x14ac:dyDescent="0.3">
      <c r="A197" s="12" t="s">
        <v>225</v>
      </c>
      <c r="B197" s="46" t="s">
        <v>62</v>
      </c>
      <c r="C197" s="12" t="s">
        <v>62</v>
      </c>
      <c r="D197" s="3" t="s">
        <v>412</v>
      </c>
      <c r="E197" s="16" t="s">
        <v>54</v>
      </c>
      <c r="F197" s="16" t="s">
        <v>71</v>
      </c>
      <c r="G197" s="2" t="s">
        <v>419</v>
      </c>
      <c r="H197" s="2" t="s">
        <v>436</v>
      </c>
      <c r="I197" s="16" t="s">
        <v>31</v>
      </c>
      <c r="J197" s="18"/>
      <c r="K197" s="17"/>
      <c r="L197" s="17"/>
      <c r="M197" s="17"/>
      <c r="N197" s="17">
        <v>3</v>
      </c>
      <c r="O197" s="18"/>
      <c r="P197" s="17"/>
      <c r="Q197" s="17"/>
      <c r="R197" s="17"/>
      <c r="S197" s="17">
        <v>2</v>
      </c>
      <c r="T197" s="17">
        <v>3</v>
      </c>
      <c r="U197" s="17">
        <v>2</v>
      </c>
    </row>
    <row r="198" spans="1:21" ht="15" hidden="1" customHeight="1" x14ac:dyDescent="0.3">
      <c r="A198" s="12" t="s">
        <v>225</v>
      </c>
      <c r="B198" s="46" t="s">
        <v>62</v>
      </c>
      <c r="C198" s="12" t="s">
        <v>62</v>
      </c>
      <c r="D198" s="3" t="s">
        <v>412</v>
      </c>
      <c r="E198" s="16" t="s">
        <v>54</v>
      </c>
      <c r="F198" s="16" t="s">
        <v>55</v>
      </c>
      <c r="G198" s="2" t="s">
        <v>421</v>
      </c>
      <c r="H198" s="2" t="s">
        <v>437</v>
      </c>
      <c r="I198" s="16" t="s">
        <v>31</v>
      </c>
      <c r="J198" s="18"/>
      <c r="K198" s="17"/>
      <c r="L198" s="17"/>
      <c r="M198" s="17"/>
      <c r="N198" s="17">
        <v>3</v>
      </c>
      <c r="O198" s="18"/>
      <c r="P198" s="17"/>
      <c r="Q198" s="17"/>
      <c r="R198" s="17"/>
      <c r="S198" s="17">
        <v>5</v>
      </c>
      <c r="T198" s="17">
        <v>7</v>
      </c>
      <c r="U198" s="17">
        <v>7</v>
      </c>
    </row>
    <row r="199" spans="1:21" ht="15" hidden="1" customHeight="1" x14ac:dyDescent="0.3">
      <c r="A199" s="12" t="s">
        <v>225</v>
      </c>
      <c r="B199" s="46" t="s">
        <v>62</v>
      </c>
      <c r="C199" s="12" t="s">
        <v>62</v>
      </c>
      <c r="D199" s="3" t="s">
        <v>423</v>
      </c>
      <c r="E199" s="16" t="s">
        <v>54</v>
      </c>
      <c r="F199" s="16" t="s">
        <v>55</v>
      </c>
      <c r="G199" s="2" t="s">
        <v>424</v>
      </c>
      <c r="H199" s="2" t="s">
        <v>73</v>
      </c>
      <c r="I199" s="16" t="s">
        <v>31</v>
      </c>
      <c r="J199" s="18"/>
      <c r="K199" s="17"/>
      <c r="L199" s="17"/>
      <c r="M199" s="17"/>
      <c r="N199" s="17">
        <v>0</v>
      </c>
      <c r="O199" s="18"/>
      <c r="P199" s="17"/>
      <c r="Q199" s="17"/>
      <c r="R199" s="17"/>
      <c r="S199" s="17">
        <v>2</v>
      </c>
      <c r="T199" s="17">
        <v>2</v>
      </c>
      <c r="U199" s="17">
        <v>2</v>
      </c>
    </row>
    <row r="200" spans="1:21" ht="15" hidden="1" customHeight="1" x14ac:dyDescent="0.3">
      <c r="A200" s="12" t="s">
        <v>225</v>
      </c>
      <c r="B200" s="46" t="s">
        <v>62</v>
      </c>
      <c r="C200" s="12" t="s">
        <v>62</v>
      </c>
      <c r="D200" s="3" t="s">
        <v>423</v>
      </c>
      <c r="E200" s="16" t="s">
        <v>54</v>
      </c>
      <c r="F200" s="16" t="s">
        <v>55</v>
      </c>
      <c r="G200" s="2" t="s">
        <v>426</v>
      </c>
      <c r="H200" s="2" t="s">
        <v>61</v>
      </c>
      <c r="I200" s="16" t="s">
        <v>31</v>
      </c>
      <c r="J200" s="18"/>
      <c r="K200" s="17"/>
      <c r="L200" s="17"/>
      <c r="M200" s="17"/>
      <c r="N200" s="17">
        <v>0</v>
      </c>
      <c r="O200" s="18"/>
      <c r="P200" s="17"/>
      <c r="Q200" s="17"/>
      <c r="R200" s="17"/>
      <c r="S200" s="17">
        <v>1</v>
      </c>
      <c r="T200" s="17">
        <v>1</v>
      </c>
      <c r="U200" s="17">
        <v>1</v>
      </c>
    </row>
    <row r="201" spans="1:21" ht="15" hidden="1" customHeight="1" x14ac:dyDescent="0.3">
      <c r="A201" s="12" t="s">
        <v>225</v>
      </c>
      <c r="B201" s="46" t="s">
        <v>62</v>
      </c>
      <c r="C201" s="12" t="s">
        <v>62</v>
      </c>
      <c r="D201" s="3" t="s">
        <v>447</v>
      </c>
      <c r="E201" s="16" t="s">
        <v>54</v>
      </c>
      <c r="F201" s="16" t="s">
        <v>71</v>
      </c>
      <c r="G201" s="2" t="s">
        <v>448</v>
      </c>
      <c r="H201" s="2" t="s">
        <v>449</v>
      </c>
      <c r="I201" s="16" t="s">
        <v>31</v>
      </c>
      <c r="J201" s="18"/>
      <c r="K201" s="17"/>
      <c r="L201" s="17"/>
      <c r="M201" s="17"/>
      <c r="N201" s="17">
        <v>1</v>
      </c>
      <c r="O201" s="18"/>
      <c r="P201" s="17"/>
      <c r="Q201" s="17"/>
      <c r="R201" s="17"/>
      <c r="S201" s="17">
        <v>1</v>
      </c>
      <c r="T201" s="17">
        <v>1</v>
      </c>
      <c r="U201" s="17">
        <v>1</v>
      </c>
    </row>
    <row r="202" spans="1:21" ht="15" hidden="1" customHeight="1" x14ac:dyDescent="0.3">
      <c r="A202" s="12" t="s">
        <v>225</v>
      </c>
      <c r="B202" s="46" t="s">
        <v>62</v>
      </c>
      <c r="C202" s="12" t="s">
        <v>62</v>
      </c>
      <c r="D202" s="3" t="s">
        <v>447</v>
      </c>
      <c r="E202" s="16" t="s">
        <v>54</v>
      </c>
      <c r="F202" s="16" t="s">
        <v>71</v>
      </c>
      <c r="G202" s="2" t="s">
        <v>450</v>
      </c>
      <c r="H202" s="2" t="s">
        <v>451</v>
      </c>
      <c r="I202" s="16" t="s">
        <v>31</v>
      </c>
      <c r="J202" s="18">
        <v>11939</v>
      </c>
      <c r="K202" s="17">
        <v>23150</v>
      </c>
      <c r="L202" s="17">
        <v>2000</v>
      </c>
      <c r="M202" s="17">
        <v>1170</v>
      </c>
      <c r="N202" s="17">
        <v>900</v>
      </c>
      <c r="O202" s="18">
        <v>30000</v>
      </c>
      <c r="P202" s="17">
        <v>500</v>
      </c>
      <c r="Q202" s="17">
        <v>2000</v>
      </c>
      <c r="R202" s="17">
        <v>500</v>
      </c>
      <c r="S202" s="17">
        <v>5000</v>
      </c>
      <c r="T202" s="17">
        <v>1000</v>
      </c>
      <c r="U202" s="17">
        <v>5000</v>
      </c>
    </row>
    <row r="203" spans="1:21" ht="15" hidden="1" customHeight="1" x14ac:dyDescent="0.3">
      <c r="A203" s="12" t="s">
        <v>225</v>
      </c>
      <c r="B203" s="46" t="s">
        <v>62</v>
      </c>
      <c r="C203" s="12" t="s">
        <v>62</v>
      </c>
      <c r="D203" s="3" t="s">
        <v>428</v>
      </c>
      <c r="E203" s="16" t="s">
        <v>24</v>
      </c>
      <c r="F203" s="16" t="s">
        <v>25</v>
      </c>
      <c r="G203" s="2" t="s">
        <v>499</v>
      </c>
      <c r="H203" s="2" t="s">
        <v>500</v>
      </c>
      <c r="I203" s="16" t="s">
        <v>31</v>
      </c>
      <c r="J203" s="18"/>
      <c r="K203" s="17"/>
      <c r="L203" s="17"/>
      <c r="M203" s="17"/>
      <c r="N203" s="17">
        <v>0</v>
      </c>
      <c r="O203" s="18"/>
      <c r="P203" s="17"/>
      <c r="Q203" s="17"/>
      <c r="R203" s="17"/>
      <c r="S203" s="17">
        <v>1100000</v>
      </c>
      <c r="T203" s="17">
        <v>50000</v>
      </c>
      <c r="U203" s="17">
        <v>1100000</v>
      </c>
    </row>
    <row r="204" spans="1:21" ht="15" hidden="1" customHeight="1" x14ac:dyDescent="0.3">
      <c r="A204" s="12" t="s">
        <v>225</v>
      </c>
      <c r="B204" s="46" t="s">
        <v>62</v>
      </c>
      <c r="C204" s="12" t="s">
        <v>62</v>
      </c>
      <c r="D204" s="3" t="s">
        <v>501</v>
      </c>
      <c r="E204" s="16" t="s">
        <v>54</v>
      </c>
      <c r="F204" s="16" t="s">
        <v>71</v>
      </c>
      <c r="G204" s="2" t="s">
        <v>502</v>
      </c>
      <c r="H204" s="2" t="s">
        <v>75</v>
      </c>
      <c r="I204" s="16" t="s">
        <v>31</v>
      </c>
      <c r="J204" s="18"/>
      <c r="K204" s="17"/>
      <c r="L204" s="17"/>
      <c r="M204" s="17"/>
      <c r="N204" s="17">
        <v>3</v>
      </c>
      <c r="O204" s="18"/>
      <c r="P204" s="17"/>
      <c r="Q204" s="17"/>
      <c r="R204" s="17"/>
      <c r="S204" s="17">
        <v>3</v>
      </c>
      <c r="T204" s="17">
        <v>3</v>
      </c>
      <c r="U204" s="17">
        <v>3</v>
      </c>
    </row>
    <row r="205" spans="1:21" ht="15" hidden="1" customHeight="1" x14ac:dyDescent="0.3">
      <c r="A205" s="12" t="s">
        <v>225</v>
      </c>
      <c r="B205" s="46" t="s">
        <v>62</v>
      </c>
      <c r="C205" s="12" t="s">
        <v>62</v>
      </c>
      <c r="D205" s="3" t="s">
        <v>501</v>
      </c>
      <c r="E205" s="16" t="s">
        <v>54</v>
      </c>
      <c r="F205" s="16" t="s">
        <v>71</v>
      </c>
      <c r="G205" s="2" t="s">
        <v>503</v>
      </c>
      <c r="H205" s="2" t="s">
        <v>64</v>
      </c>
      <c r="I205" s="16" t="s">
        <v>31</v>
      </c>
      <c r="J205" s="18"/>
      <c r="K205" s="17"/>
      <c r="L205" s="17"/>
      <c r="M205" s="17"/>
      <c r="N205" s="17">
        <v>3</v>
      </c>
      <c r="O205" s="18"/>
      <c r="P205" s="17"/>
      <c r="Q205" s="17"/>
      <c r="R205" s="17"/>
      <c r="S205" s="17">
        <v>2</v>
      </c>
      <c r="T205" s="17">
        <v>2</v>
      </c>
      <c r="U205" s="17">
        <v>2</v>
      </c>
    </row>
    <row r="206" spans="1:21" ht="15" hidden="1" customHeight="1" x14ac:dyDescent="0.3">
      <c r="A206" s="12" t="s">
        <v>225</v>
      </c>
      <c r="B206" s="46" t="s">
        <v>62</v>
      </c>
      <c r="C206" s="12" t="s">
        <v>62</v>
      </c>
      <c r="D206" s="3" t="s">
        <v>504</v>
      </c>
      <c r="E206" s="16" t="s">
        <v>54</v>
      </c>
      <c r="F206" s="16" t="s">
        <v>71</v>
      </c>
      <c r="G206" s="2" t="s">
        <v>505</v>
      </c>
      <c r="H206" s="2" t="s">
        <v>506</v>
      </c>
      <c r="I206" s="16" t="s">
        <v>31</v>
      </c>
      <c r="J206" s="18" t="s">
        <v>507</v>
      </c>
      <c r="K206" s="17">
        <v>25</v>
      </c>
      <c r="L206" s="17">
        <v>130</v>
      </c>
      <c r="M206" s="17">
        <v>12</v>
      </c>
      <c r="N206" s="17">
        <v>0</v>
      </c>
      <c r="O206" s="18">
        <v>60</v>
      </c>
      <c r="P206" s="17">
        <v>25</v>
      </c>
      <c r="Q206" s="17">
        <v>130</v>
      </c>
      <c r="R206" s="17">
        <v>12</v>
      </c>
      <c r="S206" s="17">
        <v>130</v>
      </c>
      <c r="T206" s="17">
        <v>20</v>
      </c>
      <c r="U206" s="17">
        <v>130</v>
      </c>
    </row>
    <row r="207" spans="1:21" ht="15" hidden="1" customHeight="1" x14ac:dyDescent="0.3">
      <c r="A207" s="12" t="s">
        <v>225</v>
      </c>
      <c r="B207" s="46" t="s">
        <v>62</v>
      </c>
      <c r="C207" s="12" t="s">
        <v>62</v>
      </c>
      <c r="D207" s="3" t="s">
        <v>504</v>
      </c>
      <c r="E207" s="16" t="s">
        <v>54</v>
      </c>
      <c r="F207" s="16" t="s">
        <v>71</v>
      </c>
      <c r="G207" s="2" t="s">
        <v>508</v>
      </c>
      <c r="H207" s="2" t="s">
        <v>509</v>
      </c>
      <c r="I207" s="16" t="s">
        <v>31</v>
      </c>
      <c r="J207" s="18"/>
      <c r="K207" s="17"/>
      <c r="L207" s="17"/>
      <c r="M207" s="17"/>
      <c r="N207" s="17">
        <v>0</v>
      </c>
      <c r="O207" s="18"/>
      <c r="P207" s="17"/>
      <c r="Q207" s="17"/>
      <c r="R207" s="17"/>
      <c r="S207" s="17">
        <v>150</v>
      </c>
      <c r="T207" s="17">
        <v>100</v>
      </c>
      <c r="U207" s="17">
        <v>150</v>
      </c>
    </row>
    <row r="208" spans="1:21" ht="15" hidden="1" customHeight="1" x14ac:dyDescent="0.3">
      <c r="A208" s="12" t="s">
        <v>225</v>
      </c>
      <c r="B208" s="46" t="s">
        <v>62</v>
      </c>
      <c r="C208" s="12" t="s">
        <v>62</v>
      </c>
      <c r="D208" s="3" t="s">
        <v>504</v>
      </c>
      <c r="E208" s="16" t="s">
        <v>54</v>
      </c>
      <c r="F208" s="16" t="s">
        <v>71</v>
      </c>
      <c r="G208" s="2" t="s">
        <v>510</v>
      </c>
      <c r="H208" s="2" t="s">
        <v>511</v>
      </c>
      <c r="I208" s="16" t="s">
        <v>31</v>
      </c>
      <c r="J208" s="18"/>
      <c r="K208" s="17"/>
      <c r="L208" s="17"/>
      <c r="M208" s="17"/>
      <c r="N208" s="17">
        <v>7000</v>
      </c>
      <c r="O208" s="18"/>
      <c r="P208" s="17"/>
      <c r="Q208" s="17"/>
      <c r="R208" s="17"/>
      <c r="S208" s="17">
        <v>7000</v>
      </c>
      <c r="T208" s="17">
        <v>10000</v>
      </c>
      <c r="U208" s="17">
        <v>13000</v>
      </c>
    </row>
    <row r="209" spans="1:21" ht="15" hidden="1" customHeight="1" x14ac:dyDescent="0.3">
      <c r="A209" s="12" t="s">
        <v>225</v>
      </c>
      <c r="B209" s="46" t="s">
        <v>62</v>
      </c>
      <c r="C209" s="12" t="s">
        <v>62</v>
      </c>
      <c r="D209" s="3" t="s">
        <v>452</v>
      </c>
      <c r="E209" s="16" t="s">
        <v>54</v>
      </c>
      <c r="F209" s="16" t="s">
        <v>71</v>
      </c>
      <c r="G209" s="2" t="s">
        <v>453</v>
      </c>
      <c r="H209" s="2" t="s">
        <v>454</v>
      </c>
      <c r="I209" s="16" t="s">
        <v>31</v>
      </c>
      <c r="J209" s="18"/>
      <c r="K209" s="17"/>
      <c r="L209" s="17"/>
      <c r="M209" s="17"/>
      <c r="N209" s="17">
        <v>3</v>
      </c>
      <c r="O209" s="18"/>
      <c r="P209" s="17"/>
      <c r="Q209" s="17"/>
      <c r="R209" s="17"/>
      <c r="S209" s="17">
        <v>2</v>
      </c>
      <c r="T209" s="17">
        <v>3</v>
      </c>
      <c r="U209" s="17">
        <v>2</v>
      </c>
    </row>
    <row r="210" spans="1:21" ht="15" hidden="1" customHeight="1" x14ac:dyDescent="0.3">
      <c r="A210" s="12" t="s">
        <v>225</v>
      </c>
      <c r="B210" s="46" t="s">
        <v>62</v>
      </c>
      <c r="C210" s="12" t="s">
        <v>62</v>
      </c>
      <c r="D210" s="3" t="s">
        <v>452</v>
      </c>
      <c r="E210" s="16" t="s">
        <v>54</v>
      </c>
      <c r="F210" s="16" t="s">
        <v>71</v>
      </c>
      <c r="G210" s="2" t="s">
        <v>431</v>
      </c>
      <c r="H210" s="2" t="s">
        <v>455</v>
      </c>
      <c r="I210" s="16" t="s">
        <v>31</v>
      </c>
      <c r="J210" s="18"/>
      <c r="K210" s="17"/>
      <c r="L210" s="17"/>
      <c r="M210" s="17"/>
      <c r="N210" s="17">
        <v>0</v>
      </c>
      <c r="O210" s="18"/>
      <c r="P210" s="17"/>
      <c r="Q210" s="17"/>
      <c r="R210" s="17"/>
      <c r="S210" s="17">
        <v>4</v>
      </c>
      <c r="T210" s="17">
        <v>6</v>
      </c>
      <c r="U210" s="17">
        <v>4</v>
      </c>
    </row>
    <row r="211" spans="1:21" ht="15" hidden="1" customHeight="1" x14ac:dyDescent="0.3">
      <c r="A211" s="12" t="s">
        <v>225</v>
      </c>
      <c r="B211" s="46" t="s">
        <v>62</v>
      </c>
      <c r="C211" s="12" t="s">
        <v>62</v>
      </c>
      <c r="D211" s="3" t="s">
        <v>462</v>
      </c>
      <c r="E211" s="16" t="s">
        <v>24</v>
      </c>
      <c r="F211" s="16" t="s">
        <v>25</v>
      </c>
      <c r="G211" s="2" t="s">
        <v>463</v>
      </c>
      <c r="H211" s="2" t="s">
        <v>512</v>
      </c>
      <c r="I211" s="16" t="s">
        <v>31</v>
      </c>
      <c r="J211" s="18"/>
      <c r="K211" s="17"/>
      <c r="L211" s="17"/>
      <c r="M211" s="17"/>
      <c r="N211" s="17">
        <v>0</v>
      </c>
      <c r="O211" s="18"/>
      <c r="P211" s="17"/>
      <c r="Q211" s="17"/>
      <c r="R211" s="17"/>
      <c r="S211" s="17">
        <v>88</v>
      </c>
      <c r="T211" s="17">
        <v>0</v>
      </c>
      <c r="U211" s="17">
        <v>88</v>
      </c>
    </row>
    <row r="212" spans="1:21" ht="15" hidden="1" customHeight="1" x14ac:dyDescent="0.3">
      <c r="A212" s="12" t="s">
        <v>225</v>
      </c>
      <c r="B212" s="46" t="s">
        <v>62</v>
      </c>
      <c r="C212" s="12" t="s">
        <v>62</v>
      </c>
      <c r="D212" s="3" t="s">
        <v>462</v>
      </c>
      <c r="E212" s="16" t="s">
        <v>54</v>
      </c>
      <c r="F212" s="16" t="s">
        <v>71</v>
      </c>
      <c r="G212" s="2" t="s">
        <v>465</v>
      </c>
      <c r="H212" s="2" t="s">
        <v>513</v>
      </c>
      <c r="I212" s="16" t="s">
        <v>31</v>
      </c>
      <c r="J212" s="18"/>
      <c r="K212" s="17"/>
      <c r="L212" s="17"/>
      <c r="M212" s="17"/>
      <c r="N212" s="17">
        <v>0</v>
      </c>
      <c r="O212" s="18"/>
      <c r="P212" s="17"/>
      <c r="Q212" s="17"/>
      <c r="R212" s="17"/>
      <c r="S212" s="17">
        <v>15</v>
      </c>
      <c r="T212" s="17">
        <v>0</v>
      </c>
      <c r="U212" s="17">
        <v>17</v>
      </c>
    </row>
    <row r="213" spans="1:21" ht="15" hidden="1" customHeight="1" x14ac:dyDescent="0.3">
      <c r="A213" s="12" t="s">
        <v>225</v>
      </c>
      <c r="B213" s="46" t="s">
        <v>62</v>
      </c>
      <c r="C213" s="12" t="s">
        <v>62</v>
      </c>
      <c r="D213" s="3" t="s">
        <v>462</v>
      </c>
      <c r="E213" s="16" t="s">
        <v>54</v>
      </c>
      <c r="F213" s="16" t="s">
        <v>71</v>
      </c>
      <c r="G213" s="2" t="s">
        <v>467</v>
      </c>
      <c r="H213" s="2" t="s">
        <v>468</v>
      </c>
      <c r="I213" s="16" t="s">
        <v>31</v>
      </c>
      <c r="J213" s="18"/>
      <c r="K213" s="17"/>
      <c r="L213" s="17"/>
      <c r="M213" s="17"/>
      <c r="N213" s="17">
        <v>0</v>
      </c>
      <c r="O213" s="18"/>
      <c r="P213" s="17"/>
      <c r="Q213" s="17"/>
      <c r="R213" s="17"/>
      <c r="S213" s="17">
        <v>75</v>
      </c>
      <c r="T213" s="17">
        <v>0</v>
      </c>
      <c r="U213" s="17">
        <v>75</v>
      </c>
    </row>
    <row r="214" spans="1:21" ht="15" hidden="1" customHeight="1" x14ac:dyDescent="0.3">
      <c r="A214" s="12" t="s">
        <v>225</v>
      </c>
      <c r="B214" s="46" t="s">
        <v>62</v>
      </c>
      <c r="C214" s="12" t="s">
        <v>62</v>
      </c>
      <c r="D214" s="3" t="s">
        <v>514</v>
      </c>
      <c r="E214" s="16" t="s">
        <v>24</v>
      </c>
      <c r="F214" s="16" t="s">
        <v>25</v>
      </c>
      <c r="G214" s="2" t="s">
        <v>515</v>
      </c>
      <c r="H214" s="2" t="s">
        <v>516</v>
      </c>
      <c r="I214" s="16" t="s">
        <v>31</v>
      </c>
      <c r="J214" s="18"/>
      <c r="K214" s="17"/>
      <c r="L214" s="17"/>
      <c r="M214" s="17"/>
      <c r="N214" s="17">
        <v>4</v>
      </c>
      <c r="O214" s="18"/>
      <c r="P214" s="17"/>
      <c r="Q214" s="17"/>
      <c r="R214" s="17"/>
      <c r="S214" s="17">
        <v>2</v>
      </c>
      <c r="T214" s="17">
        <v>2</v>
      </c>
      <c r="U214" s="17">
        <v>2</v>
      </c>
    </row>
    <row r="215" spans="1:21" ht="15" hidden="1" customHeight="1" x14ac:dyDescent="0.3">
      <c r="A215" s="12" t="s">
        <v>225</v>
      </c>
      <c r="B215" s="46" t="s">
        <v>62</v>
      </c>
      <c r="C215" s="12" t="s">
        <v>62</v>
      </c>
      <c r="D215" s="3" t="s">
        <v>514</v>
      </c>
      <c r="E215" s="16" t="s">
        <v>24</v>
      </c>
      <c r="F215" s="16" t="s">
        <v>25</v>
      </c>
      <c r="G215" s="2" t="s">
        <v>517</v>
      </c>
      <c r="H215" s="2" t="s">
        <v>518</v>
      </c>
      <c r="I215" s="16" t="s">
        <v>31</v>
      </c>
      <c r="J215" s="18"/>
      <c r="K215" s="17"/>
      <c r="L215" s="17"/>
      <c r="M215" s="17"/>
      <c r="N215" s="17">
        <v>4</v>
      </c>
      <c r="O215" s="18"/>
      <c r="P215" s="17"/>
      <c r="Q215" s="17"/>
      <c r="R215" s="17"/>
      <c r="S215" s="17">
        <v>3</v>
      </c>
      <c r="T215" s="17">
        <v>3</v>
      </c>
      <c r="U215" s="17">
        <v>3</v>
      </c>
    </row>
    <row r="216" spans="1:21" ht="15" hidden="1" customHeight="1" thickBot="1" x14ac:dyDescent="0.35">
      <c r="A216" s="12" t="s">
        <v>225</v>
      </c>
      <c r="B216" s="47" t="s">
        <v>62</v>
      </c>
      <c r="C216" s="48" t="s">
        <v>62</v>
      </c>
      <c r="D216" s="20" t="s">
        <v>514</v>
      </c>
      <c r="E216" s="21" t="s">
        <v>24</v>
      </c>
      <c r="F216" s="21" t="s">
        <v>25</v>
      </c>
      <c r="G216" s="22" t="s">
        <v>519</v>
      </c>
      <c r="H216" s="22" t="s">
        <v>520</v>
      </c>
      <c r="I216" s="21" t="s">
        <v>31</v>
      </c>
      <c r="J216" s="25"/>
      <c r="K216" s="24"/>
      <c r="L216" s="24"/>
      <c r="M216" s="24"/>
      <c r="N216" s="24">
        <v>40</v>
      </c>
      <c r="O216" s="25"/>
      <c r="P216" s="24"/>
      <c r="Q216" s="24"/>
      <c r="R216" s="24"/>
      <c r="S216" s="24">
        <v>25</v>
      </c>
      <c r="T216" s="24">
        <v>30</v>
      </c>
      <c r="U216" s="24">
        <v>35</v>
      </c>
    </row>
    <row r="217" spans="1:21" ht="15" hidden="1" customHeight="1" x14ac:dyDescent="0.3">
      <c r="A217" s="12" t="s">
        <v>225</v>
      </c>
      <c r="B217" s="46" t="s">
        <v>521</v>
      </c>
      <c r="C217" s="12" t="s">
        <v>521</v>
      </c>
      <c r="D217" s="3" t="s">
        <v>412</v>
      </c>
      <c r="E217" s="16" t="s">
        <v>144</v>
      </c>
      <c r="F217" s="16" t="s">
        <v>55</v>
      </c>
      <c r="G217" s="3" t="s">
        <v>413</v>
      </c>
      <c r="H217" s="3" t="s">
        <v>414</v>
      </c>
      <c r="I217" s="16" t="s">
        <v>31</v>
      </c>
      <c r="J217" s="19"/>
      <c r="K217" s="16"/>
      <c r="L217" s="16"/>
      <c r="M217" s="16"/>
      <c r="N217" s="16" t="s">
        <v>279</v>
      </c>
      <c r="O217" s="19"/>
      <c r="P217" s="16"/>
      <c r="Q217" s="16"/>
      <c r="R217" s="16"/>
      <c r="S217" s="16" t="s">
        <v>402</v>
      </c>
      <c r="T217" s="16" t="s">
        <v>402</v>
      </c>
      <c r="U217" s="16" t="s">
        <v>402</v>
      </c>
    </row>
    <row r="218" spans="1:21" ht="15" hidden="1" customHeight="1" x14ac:dyDescent="0.3">
      <c r="A218" s="12" t="s">
        <v>225</v>
      </c>
      <c r="B218" s="46" t="s">
        <v>521</v>
      </c>
      <c r="C218" s="12" t="s">
        <v>521</v>
      </c>
      <c r="D218" s="3" t="s">
        <v>412</v>
      </c>
      <c r="E218" s="16" t="s">
        <v>144</v>
      </c>
      <c r="F218" s="16" t="s">
        <v>55</v>
      </c>
      <c r="G218" s="3" t="s">
        <v>415</v>
      </c>
      <c r="H218" s="3" t="s">
        <v>522</v>
      </c>
      <c r="I218" s="16" t="s">
        <v>31</v>
      </c>
      <c r="J218" s="19"/>
      <c r="K218" s="16"/>
      <c r="L218" s="16"/>
      <c r="M218" s="16"/>
      <c r="N218" s="16" t="s">
        <v>298</v>
      </c>
      <c r="O218" s="19"/>
      <c r="P218" s="16"/>
      <c r="Q218" s="16"/>
      <c r="R218" s="16"/>
      <c r="S218" s="16" t="s">
        <v>289</v>
      </c>
      <c r="T218" s="16" t="s">
        <v>289</v>
      </c>
      <c r="U218" s="16" t="s">
        <v>289</v>
      </c>
    </row>
    <row r="219" spans="1:21" ht="15" hidden="1" customHeight="1" x14ac:dyDescent="0.3">
      <c r="A219" s="12" t="s">
        <v>225</v>
      </c>
      <c r="B219" s="46" t="s">
        <v>521</v>
      </c>
      <c r="C219" s="12" t="s">
        <v>521</v>
      </c>
      <c r="D219" s="3" t="s">
        <v>412</v>
      </c>
      <c r="E219" s="16" t="s">
        <v>144</v>
      </c>
      <c r="F219" s="16" t="s">
        <v>71</v>
      </c>
      <c r="G219" s="3" t="s">
        <v>417</v>
      </c>
      <c r="H219" s="3" t="s">
        <v>523</v>
      </c>
      <c r="I219" s="16" t="s">
        <v>31</v>
      </c>
      <c r="J219" s="19"/>
      <c r="K219" s="16"/>
      <c r="L219" s="16"/>
      <c r="M219" s="16"/>
      <c r="N219" s="16" t="s">
        <v>274</v>
      </c>
      <c r="O219" s="19"/>
      <c r="P219" s="16"/>
      <c r="Q219" s="16"/>
      <c r="R219" s="16"/>
      <c r="S219" s="16" t="s">
        <v>289</v>
      </c>
      <c r="T219" s="16" t="s">
        <v>289</v>
      </c>
      <c r="U219" s="16" t="s">
        <v>289</v>
      </c>
    </row>
    <row r="220" spans="1:21" ht="15" hidden="1" customHeight="1" x14ac:dyDescent="0.3">
      <c r="A220" s="12" t="s">
        <v>225</v>
      </c>
      <c r="B220" s="46" t="s">
        <v>521</v>
      </c>
      <c r="C220" s="12" t="s">
        <v>521</v>
      </c>
      <c r="D220" s="3" t="s">
        <v>412</v>
      </c>
      <c r="E220" s="16" t="s">
        <v>144</v>
      </c>
      <c r="F220" s="16" t="s">
        <v>71</v>
      </c>
      <c r="G220" s="3" t="s">
        <v>419</v>
      </c>
      <c r="H220" s="3" t="s">
        <v>420</v>
      </c>
      <c r="I220" s="16" t="s">
        <v>31</v>
      </c>
      <c r="J220" s="19"/>
      <c r="K220" s="16"/>
      <c r="L220" s="16"/>
      <c r="M220" s="16"/>
      <c r="N220" s="16" t="s">
        <v>402</v>
      </c>
      <c r="O220" s="19"/>
      <c r="P220" s="16"/>
      <c r="Q220" s="16"/>
      <c r="R220" s="16"/>
      <c r="S220" s="16" t="s">
        <v>270</v>
      </c>
      <c r="T220" s="16" t="s">
        <v>270</v>
      </c>
      <c r="U220" s="16" t="s">
        <v>270</v>
      </c>
    </row>
    <row r="221" spans="1:21" ht="15" hidden="1" customHeight="1" x14ac:dyDescent="0.3">
      <c r="A221" s="12" t="s">
        <v>225</v>
      </c>
      <c r="B221" s="46" t="s">
        <v>521</v>
      </c>
      <c r="C221" s="12" t="s">
        <v>521</v>
      </c>
      <c r="D221" s="3" t="s">
        <v>412</v>
      </c>
      <c r="E221" s="16" t="s">
        <v>144</v>
      </c>
      <c r="F221" s="16" t="s">
        <v>71</v>
      </c>
      <c r="G221" s="3" t="s">
        <v>421</v>
      </c>
      <c r="H221" s="3" t="s">
        <v>422</v>
      </c>
      <c r="I221" s="16" t="s">
        <v>31</v>
      </c>
      <c r="J221" s="19"/>
      <c r="K221" s="16"/>
      <c r="L221" s="16"/>
      <c r="M221" s="16"/>
      <c r="N221" s="16" t="s">
        <v>279</v>
      </c>
      <c r="O221" s="19"/>
      <c r="P221" s="16"/>
      <c r="Q221" s="16"/>
      <c r="R221" s="16"/>
      <c r="S221" s="16" t="s">
        <v>289</v>
      </c>
      <c r="T221" s="16" t="s">
        <v>289</v>
      </c>
      <c r="U221" s="16" t="s">
        <v>289</v>
      </c>
    </row>
    <row r="222" spans="1:21" ht="15" hidden="1" customHeight="1" x14ac:dyDescent="0.3">
      <c r="A222" s="12" t="s">
        <v>225</v>
      </c>
      <c r="B222" s="46" t="s">
        <v>521</v>
      </c>
      <c r="C222" s="12" t="s">
        <v>521</v>
      </c>
      <c r="D222" s="3" t="s">
        <v>423</v>
      </c>
      <c r="E222" s="16" t="s">
        <v>108</v>
      </c>
      <c r="F222" s="16" t="s">
        <v>55</v>
      </c>
      <c r="G222" s="3" t="s">
        <v>424</v>
      </c>
      <c r="H222" s="3" t="s">
        <v>425</v>
      </c>
      <c r="I222" s="16" t="s">
        <v>31</v>
      </c>
      <c r="J222" s="19"/>
      <c r="K222" s="16"/>
      <c r="L222" s="16"/>
      <c r="M222" s="16"/>
      <c r="N222" s="16" t="s">
        <v>258</v>
      </c>
      <c r="O222" s="19"/>
      <c r="P222" s="16"/>
      <c r="Q222" s="16"/>
      <c r="R222" s="16"/>
      <c r="S222" s="16" t="s">
        <v>402</v>
      </c>
      <c r="T222" s="16" t="s">
        <v>402</v>
      </c>
      <c r="U222" s="16" t="s">
        <v>402</v>
      </c>
    </row>
    <row r="223" spans="1:21" ht="15" hidden="1" customHeight="1" x14ac:dyDescent="0.3">
      <c r="A223" s="12" t="s">
        <v>225</v>
      </c>
      <c r="B223" s="46" t="s">
        <v>521</v>
      </c>
      <c r="C223" s="12" t="s">
        <v>521</v>
      </c>
      <c r="D223" s="3" t="s">
        <v>423</v>
      </c>
      <c r="E223" s="16" t="s">
        <v>108</v>
      </c>
      <c r="F223" s="16" t="s">
        <v>55</v>
      </c>
      <c r="G223" s="3" t="s">
        <v>426</v>
      </c>
      <c r="H223" s="3" t="s">
        <v>427</v>
      </c>
      <c r="I223" s="16" t="s">
        <v>31</v>
      </c>
      <c r="J223" s="19"/>
      <c r="K223" s="16"/>
      <c r="L223" s="16"/>
      <c r="M223" s="16"/>
      <c r="N223" s="16" t="s">
        <v>251</v>
      </c>
      <c r="O223" s="19"/>
      <c r="P223" s="16"/>
      <c r="Q223" s="16"/>
      <c r="R223" s="16"/>
      <c r="S223" s="16" t="s">
        <v>258</v>
      </c>
      <c r="T223" s="16" t="s">
        <v>258</v>
      </c>
      <c r="U223" s="16" t="s">
        <v>258</v>
      </c>
    </row>
    <row r="224" spans="1:21" ht="15" hidden="1" customHeight="1" x14ac:dyDescent="0.3">
      <c r="A224" s="12" t="s">
        <v>225</v>
      </c>
      <c r="B224" s="46" t="s">
        <v>521</v>
      </c>
      <c r="C224" s="12" t="s">
        <v>521</v>
      </c>
      <c r="D224" s="3" t="s">
        <v>447</v>
      </c>
      <c r="E224" s="16" t="s">
        <v>144</v>
      </c>
      <c r="F224" s="16" t="s">
        <v>71</v>
      </c>
      <c r="G224" s="3" t="s">
        <v>448</v>
      </c>
      <c r="H224" s="3" t="s">
        <v>524</v>
      </c>
      <c r="I224" s="16" t="s">
        <v>31</v>
      </c>
      <c r="J224" s="19"/>
      <c r="K224" s="16"/>
      <c r="L224" s="16"/>
      <c r="M224" s="16"/>
      <c r="N224" s="16" t="s">
        <v>258</v>
      </c>
      <c r="O224" s="19"/>
      <c r="P224" s="16"/>
      <c r="Q224" s="16"/>
      <c r="R224" s="16"/>
      <c r="S224" s="16" t="s">
        <v>273</v>
      </c>
      <c r="T224" s="16" t="s">
        <v>273</v>
      </c>
      <c r="U224" s="16" t="s">
        <v>273</v>
      </c>
    </row>
    <row r="225" spans="1:21" ht="15" hidden="1" customHeight="1" x14ac:dyDescent="0.3">
      <c r="A225" s="12" t="s">
        <v>225</v>
      </c>
      <c r="B225" s="46" t="s">
        <v>521</v>
      </c>
      <c r="C225" s="12" t="s">
        <v>521</v>
      </c>
      <c r="D225" s="3" t="s">
        <v>447</v>
      </c>
      <c r="E225" s="16" t="s">
        <v>144</v>
      </c>
      <c r="F225" s="16" t="s">
        <v>55</v>
      </c>
      <c r="G225" s="3" t="s">
        <v>450</v>
      </c>
      <c r="H225" s="3" t="s">
        <v>525</v>
      </c>
      <c r="I225" s="16" t="s">
        <v>31</v>
      </c>
      <c r="J225" s="19"/>
      <c r="K225" s="16"/>
      <c r="L225" s="16"/>
      <c r="M225" s="16"/>
      <c r="N225" s="16" t="s">
        <v>411</v>
      </c>
      <c r="O225" s="19"/>
      <c r="P225" s="16"/>
      <c r="Q225" s="16"/>
      <c r="R225" s="16"/>
      <c r="S225" s="16" t="s">
        <v>334</v>
      </c>
      <c r="T225" s="16" t="s">
        <v>334</v>
      </c>
      <c r="U225" s="16" t="s">
        <v>334</v>
      </c>
    </row>
    <row r="226" spans="1:21" ht="15" hidden="1" customHeight="1" x14ac:dyDescent="0.3">
      <c r="A226" s="12" t="s">
        <v>225</v>
      </c>
      <c r="B226" s="46" t="s">
        <v>521</v>
      </c>
      <c r="C226" s="12" t="s">
        <v>521</v>
      </c>
      <c r="D226" s="3" t="s">
        <v>447</v>
      </c>
      <c r="E226" s="16" t="s">
        <v>144</v>
      </c>
      <c r="F226" s="16" t="s">
        <v>71</v>
      </c>
      <c r="G226" s="3" t="s">
        <v>526</v>
      </c>
      <c r="H226" s="3" t="s">
        <v>527</v>
      </c>
      <c r="I226" s="16" t="s">
        <v>31</v>
      </c>
      <c r="J226" s="19"/>
      <c r="K226" s="16"/>
      <c r="L226" s="16"/>
      <c r="M226" s="16"/>
      <c r="N226" s="16" t="s">
        <v>251</v>
      </c>
      <c r="O226" s="19"/>
      <c r="P226" s="16"/>
      <c r="Q226" s="16"/>
      <c r="R226" s="16"/>
      <c r="S226" s="16" t="s">
        <v>528</v>
      </c>
      <c r="T226" s="16" t="s">
        <v>529</v>
      </c>
      <c r="U226" s="16" t="s">
        <v>528</v>
      </c>
    </row>
    <row r="227" spans="1:21" ht="15" hidden="1" customHeight="1" x14ac:dyDescent="0.3">
      <c r="A227" s="12" t="s">
        <v>225</v>
      </c>
      <c r="B227" s="46" t="s">
        <v>521</v>
      </c>
      <c r="C227" s="12" t="s">
        <v>521</v>
      </c>
      <c r="D227" s="3" t="s">
        <v>530</v>
      </c>
      <c r="E227" s="16" t="s">
        <v>144</v>
      </c>
      <c r="F227" s="16" t="s">
        <v>71</v>
      </c>
      <c r="G227" s="3" t="s">
        <v>531</v>
      </c>
      <c r="H227" s="3" t="s">
        <v>532</v>
      </c>
      <c r="I227" s="16" t="s">
        <v>31</v>
      </c>
      <c r="J227" s="19"/>
      <c r="K227" s="16"/>
      <c r="L227" s="16"/>
      <c r="M227" s="16"/>
      <c r="N227" s="16" t="s">
        <v>533</v>
      </c>
      <c r="O227" s="19"/>
      <c r="P227" s="16"/>
      <c r="Q227" s="16"/>
      <c r="R227" s="16"/>
      <c r="S227" s="16" t="s">
        <v>534</v>
      </c>
      <c r="T227" s="16" t="s">
        <v>534</v>
      </c>
      <c r="U227" s="16" t="s">
        <v>535</v>
      </c>
    </row>
    <row r="228" spans="1:21" ht="15" hidden="1" customHeight="1" x14ac:dyDescent="0.3">
      <c r="A228" s="12" t="s">
        <v>225</v>
      </c>
      <c r="B228" s="46" t="s">
        <v>521</v>
      </c>
      <c r="C228" s="12" t="s">
        <v>521</v>
      </c>
      <c r="D228" s="3" t="s">
        <v>530</v>
      </c>
      <c r="E228" s="16" t="s">
        <v>144</v>
      </c>
      <c r="F228" s="16" t="s">
        <v>55</v>
      </c>
      <c r="G228" s="3" t="s">
        <v>536</v>
      </c>
      <c r="H228" s="3" t="s">
        <v>537</v>
      </c>
      <c r="I228" s="16" t="s">
        <v>31</v>
      </c>
      <c r="J228" s="19"/>
      <c r="K228" s="16"/>
      <c r="L228" s="16"/>
      <c r="M228" s="16"/>
      <c r="N228" s="16" t="s">
        <v>538</v>
      </c>
      <c r="O228" s="19"/>
      <c r="P228" s="16"/>
      <c r="Q228" s="16"/>
      <c r="R228" s="16"/>
      <c r="S228" s="16" t="s">
        <v>538</v>
      </c>
      <c r="T228" s="16" t="s">
        <v>539</v>
      </c>
      <c r="U228" s="16" t="s">
        <v>538</v>
      </c>
    </row>
    <row r="229" spans="1:21" ht="15" hidden="1" customHeight="1" x14ac:dyDescent="0.3">
      <c r="A229" s="12" t="s">
        <v>225</v>
      </c>
      <c r="B229" s="46" t="s">
        <v>521</v>
      </c>
      <c r="C229" s="12" t="s">
        <v>521</v>
      </c>
      <c r="D229" s="3" t="s">
        <v>540</v>
      </c>
      <c r="E229" s="16" t="s">
        <v>144</v>
      </c>
      <c r="F229" s="16" t="s">
        <v>71</v>
      </c>
      <c r="G229" s="3" t="s">
        <v>541</v>
      </c>
      <c r="H229" s="3" t="s">
        <v>542</v>
      </c>
      <c r="I229" s="16" t="s">
        <v>31</v>
      </c>
      <c r="J229" s="19"/>
      <c r="K229" s="16"/>
      <c r="L229" s="16"/>
      <c r="M229" s="16"/>
      <c r="N229" s="16" t="s">
        <v>297</v>
      </c>
      <c r="O229" s="19"/>
      <c r="P229" s="16"/>
      <c r="Q229" s="16"/>
      <c r="R229" s="16"/>
      <c r="S229" s="16" t="s">
        <v>297</v>
      </c>
      <c r="T229" s="16" t="s">
        <v>270</v>
      </c>
      <c r="U229" s="16" t="s">
        <v>406</v>
      </c>
    </row>
    <row r="230" spans="1:21" ht="15" hidden="1" customHeight="1" x14ac:dyDescent="0.3">
      <c r="A230" s="12" t="s">
        <v>225</v>
      </c>
      <c r="B230" s="46" t="s">
        <v>521</v>
      </c>
      <c r="C230" s="12" t="s">
        <v>521</v>
      </c>
      <c r="D230" s="3" t="s">
        <v>540</v>
      </c>
      <c r="E230" s="16" t="s">
        <v>144</v>
      </c>
      <c r="F230" s="16" t="s">
        <v>71</v>
      </c>
      <c r="G230" s="3" t="s">
        <v>543</v>
      </c>
      <c r="H230" s="3" t="s">
        <v>544</v>
      </c>
      <c r="I230" s="16" t="s">
        <v>31</v>
      </c>
      <c r="J230" s="19"/>
      <c r="K230" s="16"/>
      <c r="L230" s="16"/>
      <c r="M230" s="16"/>
      <c r="N230" s="16" t="s">
        <v>298</v>
      </c>
      <c r="O230" s="19"/>
      <c r="P230" s="16"/>
      <c r="Q230" s="16"/>
      <c r="R230" s="16"/>
      <c r="S230" s="16" t="s">
        <v>298</v>
      </c>
      <c r="T230" s="16" t="s">
        <v>411</v>
      </c>
      <c r="U230" s="16" t="s">
        <v>297</v>
      </c>
    </row>
    <row r="231" spans="1:21" ht="15" hidden="1" customHeight="1" x14ac:dyDescent="0.3">
      <c r="A231" s="12" t="s">
        <v>225</v>
      </c>
      <c r="B231" s="46" t="s">
        <v>521</v>
      </c>
      <c r="C231" s="12" t="s">
        <v>521</v>
      </c>
      <c r="D231" s="3" t="s">
        <v>540</v>
      </c>
      <c r="E231" s="16" t="s">
        <v>144</v>
      </c>
      <c r="F231" s="16" t="s">
        <v>55</v>
      </c>
      <c r="G231" s="3" t="s">
        <v>545</v>
      </c>
      <c r="H231" s="3" t="s">
        <v>546</v>
      </c>
      <c r="I231" s="16" t="s">
        <v>31</v>
      </c>
      <c r="J231" s="19"/>
      <c r="K231" s="16"/>
      <c r="L231" s="16"/>
      <c r="M231" s="16"/>
      <c r="N231" s="16" t="s">
        <v>251</v>
      </c>
      <c r="O231" s="19"/>
      <c r="P231" s="16"/>
      <c r="Q231" s="16"/>
      <c r="R231" s="16"/>
      <c r="S231" s="16" t="s">
        <v>305</v>
      </c>
      <c r="T231" s="16" t="s">
        <v>305</v>
      </c>
      <c r="U231" s="16" t="s">
        <v>305</v>
      </c>
    </row>
    <row r="232" spans="1:21" ht="15" hidden="1" customHeight="1" x14ac:dyDescent="0.3">
      <c r="A232" s="12" t="s">
        <v>225</v>
      </c>
      <c r="B232" s="46" t="s">
        <v>521</v>
      </c>
      <c r="C232" s="12" t="s">
        <v>521</v>
      </c>
      <c r="D232" s="3" t="s">
        <v>428</v>
      </c>
      <c r="E232" s="16" t="s">
        <v>24</v>
      </c>
      <c r="F232" s="16" t="s">
        <v>25</v>
      </c>
      <c r="G232" s="3" t="s">
        <v>441</v>
      </c>
      <c r="H232" s="3" t="s">
        <v>547</v>
      </c>
      <c r="I232" s="16" t="s">
        <v>31</v>
      </c>
      <c r="J232" s="19" t="s">
        <v>548</v>
      </c>
      <c r="K232" s="16" t="s">
        <v>549</v>
      </c>
      <c r="L232" s="16" t="s">
        <v>251</v>
      </c>
      <c r="M232" s="16" t="s">
        <v>550</v>
      </c>
      <c r="N232" s="16" t="s">
        <v>551</v>
      </c>
      <c r="O232" s="19"/>
      <c r="P232" s="16" t="s">
        <v>552</v>
      </c>
      <c r="Q232" s="16" t="s">
        <v>552</v>
      </c>
      <c r="R232" s="16" t="s">
        <v>552</v>
      </c>
      <c r="S232" s="16" t="s">
        <v>553</v>
      </c>
      <c r="T232" s="16" t="s">
        <v>553</v>
      </c>
      <c r="U232" s="16" t="s">
        <v>553</v>
      </c>
    </row>
    <row r="233" spans="1:21" ht="15" hidden="1" customHeight="1" x14ac:dyDescent="0.3">
      <c r="A233" s="12" t="s">
        <v>225</v>
      </c>
      <c r="B233" s="46" t="s">
        <v>521</v>
      </c>
      <c r="C233" s="12" t="s">
        <v>521</v>
      </c>
      <c r="D233" s="3" t="s">
        <v>452</v>
      </c>
      <c r="E233" s="16" t="s">
        <v>144</v>
      </c>
      <c r="F233" s="16" t="s">
        <v>55</v>
      </c>
      <c r="G233" s="3" t="s">
        <v>453</v>
      </c>
      <c r="H233" s="3" t="s">
        <v>554</v>
      </c>
      <c r="I233" s="16" t="s">
        <v>31</v>
      </c>
      <c r="J233" s="19" t="s">
        <v>84</v>
      </c>
      <c r="K233" s="16" t="s">
        <v>42</v>
      </c>
      <c r="L233" s="16" t="s">
        <v>251</v>
      </c>
      <c r="M233" s="16" t="s">
        <v>279</v>
      </c>
      <c r="N233" s="16" t="s">
        <v>251</v>
      </c>
      <c r="O233" s="19"/>
      <c r="P233" s="16" t="s">
        <v>84</v>
      </c>
      <c r="Q233" s="16" t="s">
        <v>84</v>
      </c>
      <c r="R233" s="16" t="s">
        <v>84</v>
      </c>
      <c r="S233" s="16" t="s">
        <v>251</v>
      </c>
      <c r="T233" s="16" t="s">
        <v>289</v>
      </c>
      <c r="U233" s="16" t="s">
        <v>251</v>
      </c>
    </row>
    <row r="234" spans="1:21" ht="15" hidden="1" customHeight="1" x14ac:dyDescent="0.3">
      <c r="A234" s="12" t="s">
        <v>225</v>
      </c>
      <c r="B234" s="46" t="s">
        <v>521</v>
      </c>
      <c r="C234" s="12" t="s">
        <v>521</v>
      </c>
      <c r="D234" s="3" t="s">
        <v>452</v>
      </c>
      <c r="E234" s="16" t="s">
        <v>144</v>
      </c>
      <c r="F234" s="16" t="s">
        <v>71</v>
      </c>
      <c r="G234" s="3" t="s">
        <v>431</v>
      </c>
      <c r="H234" s="3" t="s">
        <v>432</v>
      </c>
      <c r="I234" s="16" t="s">
        <v>31</v>
      </c>
      <c r="J234" s="19"/>
      <c r="K234" s="16"/>
      <c r="L234" s="16"/>
      <c r="M234" s="16"/>
      <c r="N234" s="16" t="s">
        <v>251</v>
      </c>
      <c r="O234" s="19"/>
      <c r="P234" s="16"/>
      <c r="Q234" s="16"/>
      <c r="R234" s="16"/>
      <c r="S234" s="16" t="s">
        <v>402</v>
      </c>
      <c r="T234" s="16" t="s">
        <v>402</v>
      </c>
      <c r="U234" s="16" t="s">
        <v>402</v>
      </c>
    </row>
    <row r="235" spans="1:21" ht="15" hidden="1" customHeight="1" x14ac:dyDescent="0.3">
      <c r="A235" s="12" t="s">
        <v>225</v>
      </c>
      <c r="B235" s="46" t="s">
        <v>521</v>
      </c>
      <c r="C235" s="12" t="s">
        <v>521</v>
      </c>
      <c r="D235" s="3" t="s">
        <v>555</v>
      </c>
      <c r="E235" s="16" t="s">
        <v>144</v>
      </c>
      <c r="F235" s="16" t="s">
        <v>71</v>
      </c>
      <c r="G235" s="3" t="s">
        <v>556</v>
      </c>
      <c r="H235" s="3" t="s">
        <v>557</v>
      </c>
      <c r="I235" s="16" t="s">
        <v>31</v>
      </c>
      <c r="J235" s="19"/>
      <c r="K235" s="16"/>
      <c r="L235" s="16"/>
      <c r="M235" s="16"/>
      <c r="N235" s="16" t="s">
        <v>411</v>
      </c>
      <c r="O235" s="19"/>
      <c r="P235" s="16"/>
      <c r="Q235" s="16"/>
      <c r="R235" s="16"/>
      <c r="S235" s="16" t="s">
        <v>411</v>
      </c>
      <c r="T235" s="16" t="s">
        <v>411</v>
      </c>
      <c r="U235" s="16" t="s">
        <v>411</v>
      </c>
    </row>
    <row r="236" spans="1:21" ht="15" hidden="1" customHeight="1" x14ac:dyDescent="0.3">
      <c r="A236" s="12" t="s">
        <v>225</v>
      </c>
      <c r="B236" s="46" t="s">
        <v>521</v>
      </c>
      <c r="C236" s="12" t="s">
        <v>521</v>
      </c>
      <c r="D236" s="3" t="s">
        <v>555</v>
      </c>
      <c r="E236" s="16" t="s">
        <v>144</v>
      </c>
      <c r="F236" s="16" t="s">
        <v>55</v>
      </c>
      <c r="G236" s="3" t="s">
        <v>558</v>
      </c>
      <c r="H236" s="3" t="s">
        <v>559</v>
      </c>
      <c r="I236" s="16" t="s">
        <v>31</v>
      </c>
      <c r="J236" s="19"/>
      <c r="K236" s="16"/>
      <c r="L236" s="16"/>
      <c r="M236" s="16"/>
      <c r="N236" s="16" t="s">
        <v>273</v>
      </c>
      <c r="O236" s="19"/>
      <c r="P236" s="16"/>
      <c r="Q236" s="16"/>
      <c r="R236" s="16"/>
      <c r="S236" s="16" t="s">
        <v>273</v>
      </c>
      <c r="T236" s="16" t="s">
        <v>251</v>
      </c>
      <c r="U236" s="16" t="s">
        <v>273</v>
      </c>
    </row>
    <row r="237" spans="1:21" ht="15" hidden="1" customHeight="1" x14ac:dyDescent="0.3">
      <c r="A237" s="12" t="s">
        <v>225</v>
      </c>
      <c r="B237" s="46" t="s">
        <v>521</v>
      </c>
      <c r="C237" s="12" t="s">
        <v>521</v>
      </c>
      <c r="D237" s="3" t="s">
        <v>555</v>
      </c>
      <c r="E237" s="16" t="s">
        <v>144</v>
      </c>
      <c r="F237" s="16" t="s">
        <v>55</v>
      </c>
      <c r="G237" s="3" t="s">
        <v>560</v>
      </c>
      <c r="H237" s="3" t="s">
        <v>561</v>
      </c>
      <c r="I237" s="16" t="s">
        <v>31</v>
      </c>
      <c r="J237" s="19"/>
      <c r="K237" s="16"/>
      <c r="L237" s="16"/>
      <c r="M237" s="16"/>
      <c r="N237" s="16" t="s">
        <v>251</v>
      </c>
      <c r="O237" s="19"/>
      <c r="P237" s="16"/>
      <c r="Q237" s="16"/>
      <c r="R237" s="16"/>
      <c r="S237" s="16" t="s">
        <v>258</v>
      </c>
      <c r="T237" s="16" t="s">
        <v>279</v>
      </c>
      <c r="U237" s="16" t="s">
        <v>402</v>
      </c>
    </row>
    <row r="238" spans="1:21" ht="15" hidden="1" customHeight="1" x14ac:dyDescent="0.3">
      <c r="A238" s="12" t="s">
        <v>225</v>
      </c>
      <c r="B238" s="46" t="s">
        <v>521</v>
      </c>
      <c r="C238" s="12" t="s">
        <v>521</v>
      </c>
      <c r="D238" s="3" t="s">
        <v>555</v>
      </c>
      <c r="E238" s="16" t="s">
        <v>144</v>
      </c>
      <c r="F238" s="16" t="s">
        <v>55</v>
      </c>
      <c r="G238" s="3" t="s">
        <v>562</v>
      </c>
      <c r="H238" s="3" t="s">
        <v>563</v>
      </c>
      <c r="I238" s="16" t="s">
        <v>31</v>
      </c>
      <c r="J238" s="19"/>
      <c r="K238" s="16"/>
      <c r="L238" s="16"/>
      <c r="M238" s="16"/>
      <c r="N238" s="16" t="s">
        <v>251</v>
      </c>
      <c r="O238" s="19"/>
      <c r="P238" s="16"/>
      <c r="Q238" s="16"/>
      <c r="R238" s="16"/>
      <c r="S238" s="16" t="s">
        <v>279</v>
      </c>
      <c r="T238" s="16" t="s">
        <v>279</v>
      </c>
      <c r="U238" s="16" t="s">
        <v>279</v>
      </c>
    </row>
    <row r="239" spans="1:21" ht="15" hidden="1" customHeight="1" x14ac:dyDescent="0.3">
      <c r="A239" s="12" t="s">
        <v>225</v>
      </c>
      <c r="B239" s="46" t="s">
        <v>521</v>
      </c>
      <c r="C239" s="12" t="s">
        <v>521</v>
      </c>
      <c r="D239" s="3" t="s">
        <v>555</v>
      </c>
      <c r="E239" s="16" t="s">
        <v>144</v>
      </c>
      <c r="F239" s="16" t="s">
        <v>55</v>
      </c>
      <c r="G239" s="3" t="s">
        <v>564</v>
      </c>
      <c r="H239" s="3" t="s">
        <v>565</v>
      </c>
      <c r="I239" s="16" t="s">
        <v>31</v>
      </c>
      <c r="J239" s="19"/>
      <c r="K239" s="16"/>
      <c r="L239" s="16"/>
      <c r="M239" s="16"/>
      <c r="N239" s="16" t="s">
        <v>251</v>
      </c>
      <c r="O239" s="19"/>
      <c r="P239" s="16"/>
      <c r="Q239" s="16"/>
      <c r="R239" s="16"/>
      <c r="S239" s="16" t="s">
        <v>553</v>
      </c>
      <c r="T239" s="16" t="s">
        <v>553</v>
      </c>
      <c r="U239" s="16" t="s">
        <v>553</v>
      </c>
    </row>
    <row r="240" spans="1:21" ht="15" hidden="1" customHeight="1" x14ac:dyDescent="0.3">
      <c r="A240" s="12" t="s">
        <v>225</v>
      </c>
      <c r="B240" s="46" t="s">
        <v>521</v>
      </c>
      <c r="C240" s="12" t="s">
        <v>521</v>
      </c>
      <c r="D240" s="3" t="s">
        <v>462</v>
      </c>
      <c r="E240" s="16" t="s">
        <v>144</v>
      </c>
      <c r="F240" s="16" t="s">
        <v>71</v>
      </c>
      <c r="G240" s="3" t="s">
        <v>463</v>
      </c>
      <c r="H240" s="3" t="s">
        <v>566</v>
      </c>
      <c r="I240" s="16" t="s">
        <v>31</v>
      </c>
      <c r="J240" s="19"/>
      <c r="K240" s="16"/>
      <c r="L240" s="16"/>
      <c r="M240" s="16"/>
      <c r="N240" s="16" t="s">
        <v>258</v>
      </c>
      <c r="O240" s="19"/>
      <c r="P240" s="16"/>
      <c r="Q240" s="16"/>
      <c r="R240" s="16"/>
      <c r="S240" s="16" t="s">
        <v>251</v>
      </c>
      <c r="T240" s="16" t="s">
        <v>567</v>
      </c>
      <c r="U240" s="16" t="s">
        <v>251</v>
      </c>
    </row>
    <row r="241" spans="1:21" ht="15" hidden="1" customHeight="1" x14ac:dyDescent="0.3">
      <c r="A241" s="12" t="s">
        <v>225</v>
      </c>
      <c r="B241" s="46" t="s">
        <v>521</v>
      </c>
      <c r="C241" s="12" t="s">
        <v>521</v>
      </c>
      <c r="D241" s="3" t="s">
        <v>462</v>
      </c>
      <c r="E241" s="16" t="s">
        <v>144</v>
      </c>
      <c r="F241" s="16" t="s">
        <v>55</v>
      </c>
      <c r="G241" s="3" t="s">
        <v>465</v>
      </c>
      <c r="H241" s="3" t="s">
        <v>568</v>
      </c>
      <c r="I241" s="16" t="s">
        <v>31</v>
      </c>
      <c r="J241" s="19"/>
      <c r="K241" s="16"/>
      <c r="L241" s="16"/>
      <c r="M241" s="16"/>
      <c r="N241" s="16" t="s">
        <v>569</v>
      </c>
      <c r="O241" s="19"/>
      <c r="P241" s="16"/>
      <c r="Q241" s="16"/>
      <c r="R241" s="16"/>
      <c r="S241" s="16" t="s">
        <v>251</v>
      </c>
      <c r="T241" s="16" t="s">
        <v>328</v>
      </c>
      <c r="U241" s="16" t="s">
        <v>251</v>
      </c>
    </row>
    <row r="242" spans="1:21" ht="15" hidden="1" customHeight="1" x14ac:dyDescent="0.3">
      <c r="A242" s="12" t="s">
        <v>225</v>
      </c>
      <c r="B242" s="46" t="s">
        <v>521</v>
      </c>
      <c r="C242" s="12" t="s">
        <v>521</v>
      </c>
      <c r="D242" s="3" t="s">
        <v>462</v>
      </c>
      <c r="E242" s="16" t="s">
        <v>144</v>
      </c>
      <c r="F242" s="16" t="s">
        <v>55</v>
      </c>
      <c r="G242" s="3" t="s">
        <v>467</v>
      </c>
      <c r="H242" s="3" t="s">
        <v>468</v>
      </c>
      <c r="I242" s="16" t="s">
        <v>31</v>
      </c>
      <c r="J242" s="19"/>
      <c r="K242" s="16"/>
      <c r="L242" s="16"/>
      <c r="M242" s="16"/>
      <c r="N242" s="16" t="s">
        <v>258</v>
      </c>
      <c r="O242" s="19"/>
      <c r="P242" s="16"/>
      <c r="Q242" s="16"/>
      <c r="R242" s="16"/>
      <c r="S242" s="16" t="s">
        <v>251</v>
      </c>
      <c r="T242" s="16" t="s">
        <v>567</v>
      </c>
      <c r="U242" s="16" t="s">
        <v>251</v>
      </c>
    </row>
  </sheetData>
  <autoFilter ref="A1:A242" xr:uid="{443232CC-FFA1-4696-B567-A0806D264A78}">
    <filterColumn colId="0">
      <filters>
        <filter val="Executive"/>
      </filters>
    </filterColumn>
  </autoFilter>
  <pageMargins left="0.7" right="0.7" top="0.75" bottom="0.75" header="0.3" footer="0.3"/>
  <pageSetup orientation="portrait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9E15E617B6E04C861EED5517E33C28" ma:contentTypeVersion="11" ma:contentTypeDescription="Create a new document." ma:contentTypeScope="" ma:versionID="3e49174754384276c3460a4a3f00d35a">
  <xsd:schema xmlns:xsd="http://www.w3.org/2001/XMLSchema" xmlns:xs="http://www.w3.org/2001/XMLSchema" xmlns:p="http://schemas.microsoft.com/office/2006/metadata/properties" xmlns:ns2="ed9f3b56-7f27-4c39-bd09-69c2a0629468" xmlns:ns3="91f8391c-ea8f-41de-8ccd-11638de704b9" targetNamespace="http://schemas.microsoft.com/office/2006/metadata/properties" ma:root="true" ma:fieldsID="0903f3e457fd51116741481aecec0a42" ns2:_="" ns3:_="">
    <xsd:import namespace="ed9f3b56-7f27-4c39-bd09-69c2a0629468"/>
    <xsd:import namespace="91f8391c-ea8f-41de-8ccd-11638de704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f3b56-7f27-4c39-bd09-69c2a06294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d947c24-7126-4d64-ae63-b4eb620cf4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f8391c-ea8f-41de-8ccd-11638de704b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446bf28-74af-475e-96bb-17ba4a22d751}" ma:internalName="TaxCatchAll" ma:showField="CatchAllData" ma:web="91f8391c-ea8f-41de-8ccd-11638de704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9f3b56-7f27-4c39-bd09-69c2a0629468">
      <Terms xmlns="http://schemas.microsoft.com/office/infopath/2007/PartnerControls"/>
    </lcf76f155ced4ddcb4097134ff3c332f>
    <TaxCatchAll xmlns="91f8391c-ea8f-41de-8ccd-11638de704b9" xsi:nil="true"/>
  </documentManagement>
</p:properties>
</file>

<file path=customXml/itemProps1.xml><?xml version="1.0" encoding="utf-8"?>
<ds:datastoreItem xmlns:ds="http://schemas.openxmlformats.org/officeDocument/2006/customXml" ds:itemID="{CFB11ADB-96E1-4F95-A552-1064B2CC0F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9f3b56-7f27-4c39-bd09-69c2a0629468"/>
    <ds:schemaRef ds:uri="91f8391c-ea8f-41de-8ccd-11638de704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CACE36-3EA7-490A-ADD3-C1991F2DDD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89E399-9D0F-426A-B2F2-75EC71F90880}">
  <ds:schemaRefs>
    <ds:schemaRef ds:uri="http://schemas.microsoft.com/office/2006/metadata/properties"/>
    <ds:schemaRef ds:uri="http://schemas.microsoft.com/office/infopath/2007/PartnerControls"/>
    <ds:schemaRef ds:uri="ed9f3b56-7f27-4c39-bd09-69c2a0629468"/>
    <ds:schemaRef ds:uri="91f8391c-ea8f-41de-8ccd-11638de704b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Actuals &amp; Targets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Hazem Hussein</dc:creator>
  <cp:keywords/>
  <dc:description/>
  <cp:lastModifiedBy>Sanya Munam</cp:lastModifiedBy>
  <cp:revision/>
  <dcterms:created xsi:type="dcterms:W3CDTF">2026-08-11T09:29:28Z</dcterms:created>
  <dcterms:modified xsi:type="dcterms:W3CDTF">2026-08-26T11:52:37Z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0x010100A49E15E617B6E04C861EED5517E33C28</vt:lpwstr>
  </property>
  <property fmtid="{D5CDD505-2E9C-101B-9397-08002B2CF9AE}" pid="3" name="MediaServiceImageTags">
    <vt:lpwstr/>
  </property>
</Properties>
</file>